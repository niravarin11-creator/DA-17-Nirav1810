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41\Desktop\"/>
    </mc:Choice>
  </mc:AlternateContent>
  <xr:revisionPtr revIDLastSave="0" documentId="8_{E5B69828-04F3-4AC9-B816-009E145468DB}" xr6:coauthVersionLast="47" xr6:coauthVersionMax="47" xr10:uidLastSave="{00000000-0000-0000-0000-000000000000}"/>
  <bookViews>
    <workbookView xWindow="-120" yWindow="-120" windowWidth="29040" windowHeight="15720" tabRatio="1000" activeTab="36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2" l="1"/>
  <c r="E6" i="32"/>
  <c r="E7" i="32"/>
  <c r="E8" i="32"/>
  <c r="E9" i="32"/>
  <c r="E10" i="32"/>
  <c r="E11" i="32"/>
  <c r="E4" i="32"/>
  <c r="D4" i="32"/>
  <c r="F5" i="31"/>
  <c r="F6" i="31"/>
  <c r="F7" i="31"/>
  <c r="F8" i="31"/>
  <c r="F9" i="31"/>
  <c r="F10" i="31"/>
  <c r="F11" i="31"/>
  <c r="E18" i="27"/>
  <c r="D7" i="28"/>
  <c r="D4" i="28" a="1"/>
  <c r="D4" i="28" s="1"/>
  <c r="D13" i="28" s="1"/>
  <c r="D5" i="28"/>
  <c r="I3" i="26"/>
  <c r="C3" i="26"/>
  <c r="G4" i="4"/>
  <c r="H18" i="25"/>
  <c r="H4" i="25"/>
  <c r="G18" i="24"/>
  <c r="E5" i="23"/>
  <c r="H5" i="23"/>
  <c r="D5" i="22"/>
  <c r="D4" i="22"/>
  <c r="E5" i="21"/>
  <c r="E4" i="21"/>
  <c r="I5" i="19"/>
  <c r="G4" i="11"/>
  <c r="F17" i="11"/>
  <c r="F14" i="7"/>
  <c r="B25" i="6"/>
  <c r="F12" i="6"/>
  <c r="F13" i="6"/>
  <c r="F11" i="6"/>
  <c r="G17" i="3" a="1"/>
  <c r="G17" i="3" s="1"/>
  <c r="G4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H4" i="5"/>
  <c r="H5" i="5"/>
  <c r="H6" i="5"/>
  <c r="F4" i="6"/>
  <c r="F5" i="6"/>
  <c r="F6" i="6"/>
  <c r="F7" i="6"/>
  <c r="F8" i="6"/>
  <c r="F9" i="6"/>
  <c r="F10" i="6"/>
  <c r="F4" i="7"/>
  <c r="F5" i="7"/>
  <c r="F6" i="7"/>
  <c r="F7" i="7"/>
  <c r="F8" i="7"/>
  <c r="F9" i="7"/>
  <c r="F10" i="7"/>
  <c r="F11" i="7"/>
  <c r="F12" i="7"/>
  <c r="E4" i="8"/>
  <c r="E5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5" i="11"/>
  <c r="G6" i="11"/>
  <c r="G7" i="11"/>
  <c r="G8" i="11"/>
  <c r="G9" i="11"/>
  <c r="G10" i="11"/>
  <c r="G11" i="11"/>
  <c r="G4" i="12"/>
  <c r="G4" i="13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3"/>
  <c r="G4" i="24"/>
  <c r="G8" i="24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6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I5" i="4"/>
  <c r="F4" i="9"/>
  <c r="F9" i="9"/>
  <c r="F11" i="9"/>
  <c r="F8" i="9"/>
  <c r="F6" i="9"/>
  <c r="F7" i="9"/>
  <c r="F10" i="9"/>
  <c r="F12" i="9"/>
  <c r="F5" i="9"/>
  <c r="I7" i="4" l="1"/>
  <c r="G11" i="20"/>
  <c r="D12" i="32"/>
  <c r="I7" i="72"/>
  <c r="F15" i="69"/>
  <c r="G10" i="20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<sst xmlns="http://schemas.openxmlformats.org/spreadsheetml/2006/main" count="3950" uniqueCount="980">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</sst>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  <xf numFmtId="43" fontId="11" fillId="0" borderId="2" xfId="2" applyFont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 Nirav.xlsx]Sheet23!PivotTable23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07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10" workbookViewId="0">
      <selection activeCell="B26" sqref="B26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D20" sqref="D20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AVERAGE('1'!D4:D11)</f>
        <v>17487.5</v>
      </c>
      <c r="E12" s="54">
        <f>AVERAGE('1'!E4:E11)</f>
        <v>16250</v>
      </c>
      <c r="F12" s="54">
        <f>AVERAGE('1'!F4:F11)</f>
        <v>17100</v>
      </c>
      <c r="G12" s="39"/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130" zoomScaleNormal="130" workbookViewId="0">
      <pane ySplit="1" topLeftCell="A11" activePane="bottomLeft" state="frozen"/>
      <selection pane="bottomLeft" activeCell="G17" sqref="G17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1" t="s">
        <v>101</v>
      </c>
      <c r="C1" s="141"/>
      <c r="D1" s="141"/>
      <c r="E1" s="141"/>
      <c r="F1" s="141"/>
      <c r="G1" s="141"/>
      <c r="H1" s="141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89</v>
      </c>
      <c r="G17" s="4" cm="1">
        <f t="array" ref="G17:G26">SUMIF(B4:B13,D4:D13&gt;10000,D4:D13)</f>
        <v>0</v>
      </c>
    </row>
    <row r="18" spans="2:7" x14ac:dyDescent="0.3">
      <c r="B18" s="4" t="s">
        <v>106</v>
      </c>
      <c r="C18" s="4" t="s">
        <v>92</v>
      </c>
      <c r="D18" s="4">
        <v>5000</v>
      </c>
      <c r="G18">
        <v>0</v>
      </c>
    </row>
    <row r="19" spans="2:7" x14ac:dyDescent="0.3">
      <c r="B19" s="4" t="s">
        <v>107</v>
      </c>
      <c r="C19" s="4" t="s">
        <v>94</v>
      </c>
      <c r="D19" s="4">
        <v>76000</v>
      </c>
      <c r="G19">
        <v>0</v>
      </c>
    </row>
    <row r="20" spans="2:7" x14ac:dyDescent="0.3">
      <c r="B20" s="4" t="s">
        <v>108</v>
      </c>
      <c r="C20" s="4" t="s">
        <v>90</v>
      </c>
      <c r="D20" s="4">
        <v>45000</v>
      </c>
      <c r="G20">
        <v>0</v>
      </c>
    </row>
    <row r="21" spans="2:7" x14ac:dyDescent="0.3">
      <c r="B21" s="4" t="s">
        <v>109</v>
      </c>
      <c r="C21" s="4" t="s">
        <v>92</v>
      </c>
      <c r="D21" s="4">
        <v>8700</v>
      </c>
      <c r="G21">
        <v>0</v>
      </c>
    </row>
    <row r="22" spans="2:7" x14ac:dyDescent="0.3">
      <c r="B22" s="4" t="s">
        <v>110</v>
      </c>
      <c r="C22" s="4" t="s">
        <v>94</v>
      </c>
      <c r="D22" s="4">
        <v>5600</v>
      </c>
      <c r="G22">
        <v>0</v>
      </c>
    </row>
    <row r="23" spans="2:7" x14ac:dyDescent="0.3">
      <c r="B23" s="4" t="s">
        <v>108</v>
      </c>
      <c r="C23" s="4" t="s">
        <v>90</v>
      </c>
      <c r="D23" s="4">
        <v>45000</v>
      </c>
      <c r="G23">
        <v>0</v>
      </c>
    </row>
    <row r="24" spans="2:7" x14ac:dyDescent="0.3">
      <c r="B24" s="4" t="s">
        <v>99</v>
      </c>
      <c r="C24" s="4" t="s">
        <v>92</v>
      </c>
      <c r="D24" s="4">
        <v>5600</v>
      </c>
      <c r="G24">
        <v>0</v>
      </c>
    </row>
    <row r="25" spans="2:7" x14ac:dyDescent="0.3">
      <c r="B25" s="4" t="s">
        <v>111</v>
      </c>
      <c r="C25" s="4" t="s">
        <v>94</v>
      </c>
      <c r="D25" s="4">
        <v>5600</v>
      </c>
      <c r="G25">
        <v>0</v>
      </c>
    </row>
    <row r="26" spans="2:7" x14ac:dyDescent="0.3">
      <c r="B26" s="4" t="s">
        <v>97</v>
      </c>
      <c r="C26" s="4" t="s">
        <v>90</v>
      </c>
      <c r="D26" s="4">
        <v>45000</v>
      </c>
      <c r="G26">
        <v>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89</v>
      </c>
      <c r="G4" s="4">
        <f>SUMIF(B4:B13,F4,D4:D13)</f>
        <v>102500</v>
      </c>
      <c r="I4" t="str">
        <f t="array" ref="I4:I7">_xlfn.UNIQUE(B4:B13)</f>
        <v>Tablet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106</v>
      </c>
      <c r="G18" s="4"/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94</v>
      </c>
      <c r="H18" s="4"/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11" activePane="bottomLeft" state="frozen"/>
      <selection pane="bottomLeft" activeCell="B25" sqref="B25"/>
    </sheetView>
  </sheetViews>
  <sheetFormatPr defaultRowHeight="18.75" x14ac:dyDescent="0.3"/>
  <cols>
    <col min="2" max="2" width="14" customWidth="1"/>
    <col min="4" max="6" width="9.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>PRODUCT(D11:E11)</f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PRODUCT(D12:E12)</f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2" sqref="F12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2" t="s">
        <v>139</v>
      </c>
      <c r="E14" s="143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H7" sqref="H7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F17" sqref="F17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3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</row>
    <row r="5" spans="1:7" x14ac:dyDescent="0.3">
      <c r="B5" s="39" t="s">
        <v>91</v>
      </c>
      <c r="C5" s="39"/>
      <c r="D5" s="39"/>
    </row>
    <row r="6" spans="1:7" x14ac:dyDescent="0.3">
      <c r="B6" s="39" t="s">
        <v>93</v>
      </c>
      <c r="C6" s="39" t="s">
        <v>167</v>
      </c>
      <c r="D6" s="39"/>
    </row>
    <row r="7" spans="1:7" x14ac:dyDescent="0.3">
      <c r="B7" s="39" t="s">
        <v>91</v>
      </c>
      <c r="C7" s="39"/>
      <c r="D7" s="39"/>
    </row>
    <row r="8" spans="1:7" x14ac:dyDescent="0.3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/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SMALL(F4:F11,3)</f>
        <v>9100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  <c r="E5">
        <f>COUNT(C3:C11)</f>
        <v>6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  <c r="D5">
        <f>COUNTA(B4:B11)</f>
        <v>6</v>
      </c>
    </row>
    <row r="6" spans="1:4" x14ac:dyDescent="0.3">
      <c r="B6" s="39" t="s">
        <v>210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H12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customWidth="1"/>
    <col min="3" max="3" width="11.59765625" customWidth="1"/>
  </cols>
  <sheetData>
    <row r="1" spans="1:8" s="2" customFormat="1" ht="32.65" customHeight="1" thickBot="1" x14ac:dyDescent="0.35">
      <c r="A1" s="36">
        <v>22</v>
      </c>
      <c r="B1" s="1" t="s">
        <v>211</v>
      </c>
    </row>
    <row r="2" spans="1:8" x14ac:dyDescent="0.3">
      <c r="A2" s="37" t="s">
        <v>2</v>
      </c>
    </row>
    <row r="3" spans="1:8" x14ac:dyDescent="0.3">
      <c r="B3" s="3" t="s">
        <v>192</v>
      </c>
      <c r="C3" s="42" t="s">
        <v>196</v>
      </c>
      <c r="E3" t="s">
        <v>212</v>
      </c>
    </row>
    <row r="4" spans="1:8" x14ac:dyDescent="0.3">
      <c r="B4" s="52" t="s">
        <v>198</v>
      </c>
      <c r="C4" s="39">
        <v>154</v>
      </c>
      <c r="E4">
        <f>COUNTBLANK(C4:C11)</f>
        <v>2</v>
      </c>
      <c r="H4" t="s">
        <v>979</v>
      </c>
    </row>
    <row r="5" spans="1:8" x14ac:dyDescent="0.3">
      <c r="B5" s="52" t="s">
        <v>199</v>
      </c>
      <c r="C5" s="39">
        <v>174</v>
      </c>
      <c r="E5">
        <f>COUNTBLANK(C4:C11)</f>
        <v>2</v>
      </c>
      <c r="G5">
        <v>154</v>
      </c>
      <c r="H5">
        <f>COUNTBLANK(G5:G12)</f>
        <v>0</v>
      </c>
    </row>
    <row r="6" spans="1:8" x14ac:dyDescent="0.3">
      <c r="B6" s="52" t="s">
        <v>200</v>
      </c>
      <c r="C6" s="39"/>
      <c r="G6">
        <v>174</v>
      </c>
    </row>
    <row r="7" spans="1:8" x14ac:dyDescent="0.3">
      <c r="B7" s="52" t="s">
        <v>201</v>
      </c>
      <c r="C7" s="39">
        <v>177</v>
      </c>
      <c r="G7">
        <v>161</v>
      </c>
    </row>
    <row r="8" spans="1:8" x14ac:dyDescent="0.3">
      <c r="B8" s="52" t="s">
        <v>202</v>
      </c>
      <c r="C8" s="39"/>
      <c r="G8">
        <v>177</v>
      </c>
    </row>
    <row r="9" spans="1:8" x14ac:dyDescent="0.3">
      <c r="B9" s="52" t="s">
        <v>203</v>
      </c>
      <c r="C9" s="39">
        <v>209</v>
      </c>
      <c r="G9">
        <v>184</v>
      </c>
    </row>
    <row r="10" spans="1:8" x14ac:dyDescent="0.3">
      <c r="B10" s="52" t="s">
        <v>204</v>
      </c>
      <c r="C10" s="39">
        <v>225</v>
      </c>
      <c r="G10">
        <v>209</v>
      </c>
    </row>
    <row r="11" spans="1:8" x14ac:dyDescent="0.3">
      <c r="B11" s="52" t="s">
        <v>205</v>
      </c>
      <c r="C11" s="39">
        <v>245</v>
      </c>
      <c r="G11">
        <v>225</v>
      </c>
    </row>
    <row r="12" spans="1:8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9" sqref="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dimension ref="A1:I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41</v>
      </c>
      <c r="E3" s="3" t="s">
        <v>245</v>
      </c>
      <c r="F3" s="22"/>
      <c r="H3" s="3" t="s">
        <v>246</v>
      </c>
      <c r="I3" s="22">
        <f>SUBTOTAL(2,F6:F14)</f>
        <v>9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</sheetData>
  <autoFilter ref="B5:F15" xr:uid="{BAC4DE15-CC8C-45E1-BAF6-6228EFEBC88C}"/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ref="E18:E25" si="3">C19+C19*10%</f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 t="e" cm="1">
        <f t="array" aca="1" ref="D4" ca="1">PERCENTOF(C4,$C$4:$C$12)</f>
        <v>#NAME?</v>
      </c>
    </row>
    <row r="5" spans="1:7" x14ac:dyDescent="0.3">
      <c r="B5" t="s">
        <v>265</v>
      </c>
      <c r="C5">
        <v>200</v>
      </c>
      <c r="D5" s="24" t="e" vm="1">
        <f ca="1">_xlfn.PERCENTOF(C5,$C$4:$C$12)</f>
        <v>#NAME?</v>
      </c>
    </row>
    <row r="6" spans="1:7" x14ac:dyDescent="0.3">
      <c r="B6" t="s">
        <v>266</v>
      </c>
      <c r="C6">
        <v>60</v>
      </c>
      <c r="D6" s="24" t="e" vm="1">
        <f t="shared" ref="D5:D12" ca="1" si="0">_xlfn.PERCENTOF(C6,$C$4:$C$12)</f>
        <v>#NAME?</v>
      </c>
    </row>
    <row r="7" spans="1:7" x14ac:dyDescent="0.3">
      <c r="B7" t="s">
        <v>267</v>
      </c>
      <c r="C7">
        <v>40</v>
      </c>
      <c r="D7" s="24" t="e" vm="1">
        <f t="shared" ca="1" si="0"/>
        <v>#NAME?</v>
      </c>
    </row>
    <row r="8" spans="1:7" x14ac:dyDescent="0.3">
      <c r="B8" t="s">
        <v>268</v>
      </c>
      <c r="C8">
        <v>25</v>
      </c>
      <c r="D8" s="24" t="e" vm="1">
        <f t="shared" ca="1" si="0"/>
        <v>#NAME?</v>
      </c>
    </row>
    <row r="9" spans="1:7" x14ac:dyDescent="0.3">
      <c r="B9" t="s">
        <v>269</v>
      </c>
      <c r="C9">
        <v>35</v>
      </c>
      <c r="D9" s="24" t="e" vm="1">
        <f t="shared" ca="1" si="0"/>
        <v>#NAME?</v>
      </c>
    </row>
    <row r="10" spans="1:7" x14ac:dyDescent="0.3">
      <c r="B10" t="s">
        <v>270</v>
      </c>
      <c r="C10">
        <v>350</v>
      </c>
      <c r="D10" s="24" t="e" vm="1">
        <f t="shared" ca="1" si="0"/>
        <v>#NAME?</v>
      </c>
    </row>
    <row r="11" spans="1:7" x14ac:dyDescent="0.3">
      <c r="B11" t="s">
        <v>271</v>
      </c>
      <c r="C11">
        <v>70</v>
      </c>
      <c r="D11" s="24" t="e" vm="1">
        <f t="shared" ca="1" si="0"/>
        <v>#NAME?</v>
      </c>
    </row>
    <row r="12" spans="1:7" x14ac:dyDescent="0.3">
      <c r="B12" t="s">
        <v>272</v>
      </c>
      <c r="C12">
        <v>90</v>
      </c>
      <c r="D12" s="24" t="e" vm="1">
        <f t="shared" ca="1" si="0"/>
        <v>#NAME?</v>
      </c>
    </row>
    <row r="13" spans="1:7" x14ac:dyDescent="0.3">
      <c r="D13" s="25" t="e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0.26114770450489055</v>
      </c>
    </row>
    <row r="5" spans="1:5" x14ac:dyDescent="0.3">
      <c r="B5" s="39" t="s">
        <v>215</v>
      </c>
      <c r="C5" s="39">
        <f t="shared" ref="C5:C12" ca="1" si="0">RAND()</f>
        <v>0.20697651117455307</v>
      </c>
    </row>
    <row r="6" spans="1:5" x14ac:dyDescent="0.3">
      <c r="B6" s="39" t="s">
        <v>275</v>
      </c>
      <c r="C6" s="39">
        <f t="shared" ca="1" si="0"/>
        <v>0.17002150681647343</v>
      </c>
    </row>
    <row r="7" spans="1:5" x14ac:dyDescent="0.3">
      <c r="B7" s="39" t="s">
        <v>276</v>
      </c>
      <c r="C7" s="39">
        <f t="shared" ca="1" si="0"/>
        <v>0.39598640843503197</v>
      </c>
    </row>
    <row r="8" spans="1:5" x14ac:dyDescent="0.3">
      <c r="B8" s="39" t="s">
        <v>277</v>
      </c>
      <c r="C8" s="39">
        <f t="shared" ca="1" si="0"/>
        <v>0.20144010833173609</v>
      </c>
    </row>
    <row r="9" spans="1:5" x14ac:dyDescent="0.3">
      <c r="B9" s="39" t="s">
        <v>278</v>
      </c>
      <c r="C9" s="39">
        <f t="shared" ca="1" si="0"/>
        <v>0.28822841185396009</v>
      </c>
    </row>
    <row r="10" spans="1:5" x14ac:dyDescent="0.3">
      <c r="B10" s="39" t="s">
        <v>222</v>
      </c>
      <c r="C10" s="39">
        <f t="shared" ca="1" si="0"/>
        <v>0.75134605263355891</v>
      </c>
    </row>
    <row r="11" spans="1:5" x14ac:dyDescent="0.3">
      <c r="B11" s="39" t="s">
        <v>224</v>
      </c>
      <c r="C11" s="39">
        <f t="shared" ca="1" si="0"/>
        <v>0.67456559353570134</v>
      </c>
    </row>
    <row r="12" spans="1:5" x14ac:dyDescent="0.3">
      <c r="B12" s="39" t="s">
        <v>279</v>
      </c>
      <c r="C12" s="39">
        <f t="shared" ca="1" si="0"/>
        <v>0.69895505347045173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/>
      <c r="G4" s="26"/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 t="e">
        <f t="shared" ref="F5:F11" ca="1" si="0">RANDBETWEEN(D5,E5)</f>
        <v>#NUM!</v>
      </c>
      <c r="G5" s="26"/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>
        <f t="shared" ca="1" si="0"/>
        <v>59</v>
      </c>
      <c r="G6" s="26"/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 t="e">
        <f t="shared" ca="1" si="0"/>
        <v>#NUM!</v>
      </c>
      <c r="G7" s="26"/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>
        <f t="shared" ca="1" si="0"/>
        <v>65</v>
      </c>
      <c r="G8" s="26"/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>
        <f t="shared" ca="1" si="0"/>
        <v>26</v>
      </c>
      <c r="G9" s="26"/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 t="e">
        <f t="shared" ca="1" si="0"/>
        <v>#NUM!</v>
      </c>
      <c r="G10" s="26"/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>
        <f t="shared" ca="1" si="0"/>
        <v>18</v>
      </c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E12" sqref="E12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5" s="2" customFormat="1" ht="32.65" customHeight="1" thickBot="1" x14ac:dyDescent="0.35">
      <c r="A1" s="36">
        <v>30</v>
      </c>
      <c r="B1" s="1" t="s">
        <v>281</v>
      </c>
    </row>
    <row r="2" spans="1:5" x14ac:dyDescent="0.3">
      <c r="A2" s="37" t="s">
        <v>2</v>
      </c>
    </row>
    <row r="3" spans="1:5" x14ac:dyDescent="0.3">
      <c r="B3" s="3" t="s">
        <v>282</v>
      </c>
    </row>
    <row r="4" spans="1:5" x14ac:dyDescent="0.3">
      <c r="B4" s="4">
        <v>-2000</v>
      </c>
      <c r="D4">
        <f>ABS(B4)</f>
        <v>2000</v>
      </c>
      <c r="E4">
        <f>ABS(B4)</f>
        <v>2000</v>
      </c>
    </row>
    <row r="5" spans="1:5" x14ac:dyDescent="0.3">
      <c r="B5" s="4">
        <v>5000</v>
      </c>
      <c r="D5">
        <f t="shared" ref="D5:D11" si="0">ABS(B5)</f>
        <v>5000</v>
      </c>
      <c r="E5">
        <f t="shared" ref="E5:E11" si="1">ABS(B5)</f>
        <v>5000</v>
      </c>
    </row>
    <row r="6" spans="1:5" x14ac:dyDescent="0.3">
      <c r="B6" s="4">
        <v>10000</v>
      </c>
      <c r="D6">
        <f t="shared" si="0"/>
        <v>10000</v>
      </c>
      <c r="E6">
        <f t="shared" si="1"/>
        <v>10000</v>
      </c>
    </row>
    <row r="7" spans="1:5" x14ac:dyDescent="0.3">
      <c r="B7" s="4">
        <v>-5000</v>
      </c>
      <c r="D7">
        <f t="shared" si="0"/>
        <v>5000</v>
      </c>
      <c r="E7">
        <f t="shared" si="1"/>
        <v>5000</v>
      </c>
    </row>
    <row r="8" spans="1:5" x14ac:dyDescent="0.3">
      <c r="B8" s="4">
        <v>-12000</v>
      </c>
      <c r="D8">
        <f t="shared" si="0"/>
        <v>12000</v>
      </c>
      <c r="E8">
        <f t="shared" si="1"/>
        <v>12000</v>
      </c>
    </row>
    <row r="9" spans="1:5" x14ac:dyDescent="0.3">
      <c r="B9" s="4">
        <v>-2500</v>
      </c>
      <c r="D9">
        <f t="shared" si="0"/>
        <v>2500</v>
      </c>
      <c r="E9">
        <f t="shared" si="1"/>
        <v>2500</v>
      </c>
    </row>
    <row r="10" spans="1:5" x14ac:dyDescent="0.3">
      <c r="B10" s="4">
        <v>1500</v>
      </c>
      <c r="D10">
        <f t="shared" si="0"/>
        <v>1500</v>
      </c>
      <c r="E10">
        <f t="shared" si="1"/>
        <v>1500</v>
      </c>
    </row>
    <row r="11" spans="1:5" x14ac:dyDescent="0.3">
      <c r="B11" s="4">
        <v>-1350</v>
      </c>
      <c r="D11">
        <f t="shared" si="0"/>
        <v>1350</v>
      </c>
      <c r="E11">
        <f t="shared" si="1"/>
        <v>1350</v>
      </c>
    </row>
    <row r="12" spans="1:5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I10" sqref="I10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153">
        <v>0.67333333333333334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153"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153">
        <v>0.5033333333333333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153"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153">
        <v>0.49333333333333335</v>
      </c>
    </row>
    <row r="9" spans="1:7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153">
        <v>0.79333333333333333</v>
      </c>
    </row>
    <row r="10" spans="1:7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153">
        <v>0.60666666666666669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15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284</v>
      </c>
    </row>
    <row r="2" spans="1:7" x14ac:dyDescent="0.3">
      <c r="A2" s="37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12" sqref="C12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289</v>
      </c>
      <c r="C6" s="39" t="str">
        <f t="shared" si="0"/>
        <v>JUICE</v>
      </c>
    </row>
    <row r="7" spans="1:5" x14ac:dyDescent="0.3">
      <c r="B7" s="39" t="s">
        <v>290</v>
      </c>
      <c r="C7" s="39" t="str">
        <f t="shared" si="0"/>
        <v>APPLE</v>
      </c>
    </row>
    <row r="8" spans="1:5" x14ac:dyDescent="0.3">
      <c r="B8" s="39" t="s">
        <v>291</v>
      </c>
      <c r="C8" s="39" t="str">
        <f t="shared" si="0"/>
        <v>CAKE</v>
      </c>
    </row>
    <row r="9" spans="1:5" x14ac:dyDescent="0.3">
      <c r="B9" s="39" t="s">
        <v>292</v>
      </c>
      <c r="C9" s="39" t="str">
        <f t="shared" si="0"/>
        <v>RICE</v>
      </c>
    </row>
    <row r="10" spans="1:5" x14ac:dyDescent="0.3">
      <c r="B10" s="39" t="s">
        <v>293</v>
      </c>
      <c r="C10" s="39" t="str">
        <f t="shared" si="0"/>
        <v>JAM</v>
      </c>
    </row>
    <row r="11" spans="1:5" x14ac:dyDescent="0.3">
      <c r="B11" s="39" t="s">
        <v>294</v>
      </c>
      <c r="C11" s="39" t="str">
        <f t="shared" si="0"/>
        <v>NUTS</v>
      </c>
    </row>
    <row r="12" spans="1:5" x14ac:dyDescent="0.3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296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297</v>
      </c>
      <c r="C4" s="4" t="str">
        <f>LOWER(B4)</f>
        <v>milk</v>
      </c>
    </row>
    <row r="5" spans="1:3" x14ac:dyDescent="0.3">
      <c r="B5" s="39" t="s">
        <v>298</v>
      </c>
      <c r="C5" s="4" t="str">
        <f t="shared" ref="C5:C12" si="0">LOWER(B5)</f>
        <v>butter</v>
      </c>
    </row>
    <row r="6" spans="1:3" x14ac:dyDescent="0.3">
      <c r="B6" s="39" t="s">
        <v>299</v>
      </c>
      <c r="C6" s="4" t="str">
        <f t="shared" si="0"/>
        <v>cheese</v>
      </c>
    </row>
    <row r="7" spans="1:3" x14ac:dyDescent="0.3">
      <c r="B7" s="39" t="s">
        <v>300</v>
      </c>
      <c r="C7" s="4" t="str">
        <f t="shared" si="0"/>
        <v>curd</v>
      </c>
    </row>
    <row r="8" spans="1:3" x14ac:dyDescent="0.3">
      <c r="B8" s="39" t="s">
        <v>301</v>
      </c>
      <c r="C8" s="4" t="str">
        <f t="shared" si="0"/>
        <v>ghee</v>
      </c>
    </row>
    <row r="9" spans="1:3" x14ac:dyDescent="0.3">
      <c r="B9" s="39" t="s">
        <v>302</v>
      </c>
      <c r="C9" s="4" t="str">
        <f t="shared" si="0"/>
        <v>cream</v>
      </c>
    </row>
    <row r="10" spans="1:3" x14ac:dyDescent="0.3">
      <c r="B10" s="39" t="s">
        <v>303</v>
      </c>
      <c r="C10" s="4" t="str">
        <f t="shared" si="0"/>
        <v>paneer</v>
      </c>
    </row>
    <row r="11" spans="1:3" x14ac:dyDescent="0.3">
      <c r="B11" s="39" t="s">
        <v>304</v>
      </c>
      <c r="C11" s="4" t="str">
        <f t="shared" si="0"/>
        <v>lassi</v>
      </c>
    </row>
    <row r="12" spans="1:3" x14ac:dyDescent="0.3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306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307</v>
      </c>
      <c r="C4" s="39" t="str">
        <f t="shared" ref="C4:C12" si="0">PROPER(B4)</f>
        <v>Wallet</v>
      </c>
    </row>
    <row r="5" spans="1:3" x14ac:dyDescent="0.3">
      <c r="B5" s="39" t="s">
        <v>308</v>
      </c>
      <c r="C5" s="39" t="str">
        <f t="shared" si="0"/>
        <v>Sunglasses</v>
      </c>
    </row>
    <row r="6" spans="1:3" x14ac:dyDescent="0.3">
      <c r="B6" s="39" t="s">
        <v>309</v>
      </c>
      <c r="C6" s="39" t="str">
        <f t="shared" si="0"/>
        <v>Watch</v>
      </c>
    </row>
    <row r="7" spans="1:3" x14ac:dyDescent="0.3">
      <c r="B7" s="39" t="s">
        <v>310</v>
      </c>
      <c r="C7" s="39" t="str">
        <f t="shared" si="0"/>
        <v>Belt</v>
      </c>
    </row>
    <row r="8" spans="1:3" x14ac:dyDescent="0.3">
      <c r="B8" s="39" t="s">
        <v>311</v>
      </c>
      <c r="C8" s="39" t="str">
        <f t="shared" si="0"/>
        <v>Shoes</v>
      </c>
    </row>
    <row r="9" spans="1:3" x14ac:dyDescent="0.3">
      <c r="B9" s="39" t="s">
        <v>312</v>
      </c>
      <c r="C9" s="39" t="str">
        <f t="shared" si="0"/>
        <v>Tie</v>
      </c>
    </row>
    <row r="10" spans="1:3" x14ac:dyDescent="0.3">
      <c r="B10" s="39" t="s">
        <v>313</v>
      </c>
      <c r="C10" s="39" t="str">
        <f t="shared" si="0"/>
        <v>Backpack</v>
      </c>
    </row>
    <row r="11" spans="1:3" x14ac:dyDescent="0.3">
      <c r="B11" s="39" t="s">
        <v>314</v>
      </c>
      <c r="C11" s="39" t="str">
        <f t="shared" si="0"/>
        <v>Cap</v>
      </c>
    </row>
    <row r="12" spans="1:3" x14ac:dyDescent="0.3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316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335</v>
      </c>
    </row>
    <row r="2" spans="1:5" x14ac:dyDescent="0.3">
      <c r="A2" s="37" t="s">
        <v>2</v>
      </c>
    </row>
    <row r="3" spans="1:5" x14ac:dyDescent="0.3">
      <c r="B3" s="3" t="s">
        <v>336</v>
      </c>
      <c r="C3" s="3" t="s">
        <v>337</v>
      </c>
    </row>
    <row r="4" spans="1:5" x14ac:dyDescent="0.3">
      <c r="B4" s="4" t="s">
        <v>338</v>
      </c>
      <c r="C4" s="4" t="str">
        <f>LEFT(B4,6)</f>
        <v>110062</v>
      </c>
    </row>
    <row r="5" spans="1:5" x14ac:dyDescent="0.3">
      <c r="B5" s="4" t="s">
        <v>339</v>
      </c>
      <c r="C5" s="4" t="str">
        <f>LEFT(B5,6)</f>
        <v>121102</v>
      </c>
    </row>
    <row r="6" spans="1:5" x14ac:dyDescent="0.3">
      <c r="B6" s="4" t="s">
        <v>340</v>
      </c>
      <c r="C6" s="4" t="str">
        <f>LEFT(B6,6)</f>
        <v>140003</v>
      </c>
    </row>
    <row r="7" spans="1:5" x14ac:dyDescent="0.3">
      <c r="B7" s="4" t="s">
        <v>341</v>
      </c>
      <c r="C7" s="4" t="str">
        <f>LEFT(B7,6)</f>
        <v>121102</v>
      </c>
    </row>
    <row r="9" spans="1:5" x14ac:dyDescent="0.3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347</v>
      </c>
    </row>
    <row r="2" spans="1:3" x14ac:dyDescent="0.3">
      <c r="A2" s="37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_xlfn.TEXTBEFORE(B4,",",2)</f>
        <v>#NAME?</v>
      </c>
    </row>
    <row r="5" spans="1:3" x14ac:dyDescent="0.3">
      <c r="B5" s="4" t="s">
        <v>339</v>
      </c>
      <c r="C5" s="4" t="e" vm="1">
        <f ca="1">_xlfn.TEXTBEFORE(B5,",",2)</f>
        <v>#NAME?</v>
      </c>
    </row>
    <row r="6" spans="1:3" x14ac:dyDescent="0.3">
      <c r="B6" s="4" t="s">
        <v>340</v>
      </c>
      <c r="C6" s="4" t="e" vm="1">
        <f ca="1">_xlfn.TEXTBEFORE(B6,",",2)</f>
        <v>#NAME?</v>
      </c>
    </row>
    <row r="7" spans="1:3" x14ac:dyDescent="0.3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_xlfn.TEXTAFTER(B4,",",2)</f>
        <v>#NAME?</v>
      </c>
    </row>
    <row r="5" spans="1:3" x14ac:dyDescent="0.3">
      <c r="B5" s="4" t="s">
        <v>339</v>
      </c>
      <c r="C5" s="4" t="e" vm="1">
        <f ca="1">_xlfn.TEXTAFTER(B5,",",2)</f>
        <v>#NAME?</v>
      </c>
    </row>
    <row r="6" spans="1:3" x14ac:dyDescent="0.3">
      <c r="B6" s="4" t="s">
        <v>340</v>
      </c>
      <c r="C6" s="4" t="e" vm="1">
        <f ca="1">_xlfn.TEXTAFTER(B6,",",2)</f>
        <v>#NAME?</v>
      </c>
    </row>
    <row r="7" spans="1:3" x14ac:dyDescent="0.3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584</v>
      </c>
    </row>
    <row r="2" spans="1:2" x14ac:dyDescent="0.3">
      <c r="A2" s="37" t="s">
        <v>2</v>
      </c>
    </row>
    <row r="3" spans="1:2" x14ac:dyDescent="0.3">
      <c r="B3" s="3" t="s">
        <v>320</v>
      </c>
    </row>
    <row r="4" spans="1:2" x14ac:dyDescent="0.3">
      <c r="B4" s="4" t="s">
        <v>585</v>
      </c>
    </row>
    <row r="5" spans="1:2" x14ac:dyDescent="0.3">
      <c r="B5" s="4" t="s">
        <v>586</v>
      </c>
    </row>
    <row r="6" spans="1:2" x14ac:dyDescent="0.3">
      <c r="B6" s="4" t="s">
        <v>587</v>
      </c>
    </row>
    <row r="7" spans="1:2" x14ac:dyDescent="0.3">
      <c r="B7" s="20" t="s">
        <v>588</v>
      </c>
    </row>
    <row r="8" spans="1:2" x14ac:dyDescent="0.3">
      <c r="B8" s="39" t="s">
        <v>589</v>
      </c>
    </row>
    <row r="9" spans="1:2" x14ac:dyDescent="0.3">
      <c r="B9" s="5" t="s">
        <v>590</v>
      </c>
    </row>
    <row r="10" spans="1:2" x14ac:dyDescent="0.3">
      <c r="B10" s="4" t="s">
        <v>591</v>
      </c>
    </row>
    <row r="11" spans="1:2" x14ac:dyDescent="0.3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592</v>
      </c>
    </row>
    <row r="2" spans="1:7" x14ac:dyDescent="0.3">
      <c r="A2" s="37" t="s">
        <v>2</v>
      </c>
    </row>
    <row r="3" spans="1:7" x14ac:dyDescent="0.3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594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599</v>
      </c>
    </row>
    <row r="2" spans="1:5" x14ac:dyDescent="0.3">
      <c r="A2" s="37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9">
        <f ca="1">NOW()</f>
        <v>46212.654770486108</v>
      </c>
      <c r="C4" s="30">
        <f ca="1">TODAY()</f>
        <v>46212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606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610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611</v>
      </c>
    </row>
    <row r="2" spans="1:4" x14ac:dyDescent="0.3">
      <c r="A2" s="37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615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620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622</v>
      </c>
    </row>
    <row r="2" spans="1:6" x14ac:dyDescent="0.3">
      <c r="A2" s="37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7">
        <v>36557</v>
      </c>
      <c r="C4" s="27">
        <f ca="1">TODAY()</f>
        <v>46212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9655</v>
      </c>
    </row>
    <row r="5" spans="1:6" x14ac:dyDescent="0.3">
      <c r="B5" s="27">
        <v>43893</v>
      </c>
      <c r="C5" s="27">
        <f ca="1">TODAY()</f>
        <v>46212</v>
      </c>
      <c r="D5" s="4">
        <f ca="1">DATEDIF(B5,C5,"y")</f>
        <v>6</v>
      </c>
      <c r="E5" s="4">
        <f ca="1">DATEDIF(B5,C5,"m")</f>
        <v>76</v>
      </c>
      <c r="F5" s="4">
        <f ca="1">DATEDIF(B5,C5,"d")</f>
        <v>2319</v>
      </c>
    </row>
    <row r="6" spans="1:6" x14ac:dyDescent="0.3">
      <c r="B6" s="27">
        <v>37349</v>
      </c>
      <c r="C6" s="27">
        <f ca="1">TODAY()</f>
        <v>46212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8863</v>
      </c>
    </row>
    <row r="7" spans="1:6" x14ac:dyDescent="0.3">
      <c r="B7" s="27">
        <v>39210</v>
      </c>
      <c r="C7" s="27">
        <f ca="1">TODAY()</f>
        <v>46212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7002</v>
      </c>
    </row>
    <row r="8" spans="1:6" x14ac:dyDescent="0.3">
      <c r="B8" s="27">
        <v>38142</v>
      </c>
      <c r="C8" s="27">
        <f ca="1">TODAY()</f>
        <v>46212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628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633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636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637</v>
      </c>
    </row>
    <row r="2" spans="1:10" x14ac:dyDescent="0.3">
      <c r="A2" s="37" t="s">
        <v>2</v>
      </c>
    </row>
    <row r="3" spans="1:10" x14ac:dyDescent="0.3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638</v>
      </c>
      <c r="C16" s="3" t="s">
        <v>649</v>
      </c>
      <c r="D16" s="145" t="s">
        <v>650</v>
      </c>
      <c r="E16" s="145"/>
      <c r="F16" s="145"/>
    </row>
    <row r="17" spans="2:6" x14ac:dyDescent="0.3">
      <c r="B17" s="27" t="s">
        <v>651</v>
      </c>
      <c r="C17" s="4" t="s">
        <v>652</v>
      </c>
      <c r="D17" s="144" t="str">
        <f>IF(C17="male","Mr. "&amp;B17,"Mis "&amp;B17)</f>
        <v>Mr. Raj Kumar</v>
      </c>
      <c r="E17" s="144"/>
      <c r="F17" s="144"/>
    </row>
    <row r="18" spans="2:6" x14ac:dyDescent="0.3">
      <c r="B18" s="27" t="s">
        <v>500</v>
      </c>
      <c r="C18" s="4" t="s">
        <v>653</v>
      </c>
      <c r="D18" s="144" t="str">
        <f>IF(C18="male","Mr. "&amp;B18,"Mis "&amp;B18)</f>
        <v>Mis Tejal</v>
      </c>
      <c r="E18" s="144"/>
      <c r="F18" s="144"/>
    </row>
    <row r="19" spans="2:6" x14ac:dyDescent="0.3">
      <c r="B19" s="27" t="s">
        <v>654</v>
      </c>
      <c r="C19" s="4" t="s">
        <v>652</v>
      </c>
      <c r="D19" s="144" t="str">
        <f>IF(C19="male","Mr. "&amp;B19,"Mis "&amp;B19)</f>
        <v>Mr. Anil Kumar</v>
      </c>
      <c r="E19" s="144"/>
      <c r="F19" s="144"/>
    </row>
    <row r="20" spans="2:6" x14ac:dyDescent="0.3">
      <c r="B20" s="27" t="s">
        <v>655</v>
      </c>
      <c r="C20" s="4" t="s">
        <v>653</v>
      </c>
      <c r="D20" s="144" t="str">
        <f>IF(C20="male","Mr. "&amp;B20,"Mis "&amp;B20)</f>
        <v>Mis Reena</v>
      </c>
      <c r="E20" s="144"/>
      <c r="F20" s="144"/>
    </row>
    <row r="21" spans="2:6" x14ac:dyDescent="0.3">
      <c r="B21" s="27" t="s">
        <v>545</v>
      </c>
      <c r="C21" s="4" t="s">
        <v>652</v>
      </c>
      <c r="D21" s="144" t="str">
        <f>IF(C21="male","Mr. "&amp;B21,"Mis "&amp;B21)</f>
        <v>Mr. Deepak</v>
      </c>
      <c r="E21" s="144"/>
      <c r="F21" s="144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656</v>
      </c>
    </row>
    <row r="2" spans="1:7" x14ac:dyDescent="0.3">
      <c r="A2" s="37" t="s">
        <v>2</v>
      </c>
    </row>
    <row r="3" spans="1:7" x14ac:dyDescent="0.3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662</v>
      </c>
    </row>
    <row r="14" spans="1:7" x14ac:dyDescent="0.3">
      <c r="A14" s="37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672</v>
      </c>
    </row>
    <row r="2" spans="1:7" x14ac:dyDescent="0.3">
      <c r="A2" s="37" t="s">
        <v>2</v>
      </c>
    </row>
    <row r="3" spans="1:7" x14ac:dyDescent="0.3">
      <c r="B3" s="40" t="s">
        <v>638</v>
      </c>
      <c r="C3" s="3" t="s">
        <v>673</v>
      </c>
      <c r="D3" s="3" t="s">
        <v>674</v>
      </c>
    </row>
    <row r="4" spans="1:7" x14ac:dyDescent="0.3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683</v>
      </c>
    </row>
    <row r="11" spans="1:7" x14ac:dyDescent="0.3">
      <c r="A11" s="37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8"/>
    </row>
    <row r="17" spans="2:4" x14ac:dyDescent="0.3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688</v>
      </c>
      <c r="C20" s="4" t="s">
        <v>207</v>
      </c>
      <c r="D20" s="4" t="str">
        <f t="shared" si="0"/>
        <v>fail</v>
      </c>
    </row>
    <row r="21" spans="2:4" x14ac:dyDescent="0.3">
      <c r="B21" s="39" t="s">
        <v>689</v>
      </c>
      <c r="C21" s="33">
        <v>0.77</v>
      </c>
      <c r="D21" s="4" t="str">
        <f t="shared" si="0"/>
        <v>pass</v>
      </c>
    </row>
    <row r="22" spans="2:4" x14ac:dyDescent="0.3">
      <c r="B22" s="39" t="s">
        <v>688</v>
      </c>
      <c r="C22" s="4" t="s">
        <v>207</v>
      </c>
      <c r="D22" s="4" t="str">
        <f t="shared" si="0"/>
        <v>fail</v>
      </c>
    </row>
    <row r="23" spans="2:4" x14ac:dyDescent="0.3">
      <c r="B23" s="39" t="s">
        <v>690</v>
      </c>
      <c r="C23" s="33">
        <v>0.98</v>
      </c>
      <c r="D23" s="4" t="str">
        <f t="shared" si="0"/>
        <v>pass</v>
      </c>
    </row>
    <row r="24" spans="2:4" x14ac:dyDescent="0.3">
      <c r="B24" s="39" t="s">
        <v>688</v>
      </c>
      <c r="C24" s="33">
        <v>0.33</v>
      </c>
      <c r="D24" s="4" t="str">
        <f t="shared" si="0"/>
        <v>fail</v>
      </c>
    </row>
    <row r="26" spans="2:4" x14ac:dyDescent="0.3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692</v>
      </c>
    </row>
    <row r="2" spans="1:8" x14ac:dyDescent="0.3">
      <c r="A2" s="37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699</v>
      </c>
    </row>
    <row r="11" spans="1:8" x14ac:dyDescent="0.3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701</v>
      </c>
    </row>
    <row r="13" spans="1:8" x14ac:dyDescent="0.3">
      <c r="B13" s="30" t="s">
        <v>702</v>
      </c>
    </row>
    <row r="14" spans="1:8" x14ac:dyDescent="0.3">
      <c r="B14" s="30" t="s">
        <v>703</v>
      </c>
    </row>
    <row r="15" spans="1:8" x14ac:dyDescent="0.3">
      <c r="A15" s="37" t="s">
        <v>2</v>
      </c>
    </row>
    <row r="16" spans="1:8" x14ac:dyDescent="0.3">
      <c r="B16" s="40" t="s">
        <v>704</v>
      </c>
      <c r="C16" s="40" t="s">
        <v>705</v>
      </c>
      <c r="D16" s="3" t="s">
        <v>674</v>
      </c>
    </row>
    <row r="17" spans="2:4" x14ac:dyDescent="0.3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711</v>
      </c>
    </row>
    <row r="24" spans="2:4" x14ac:dyDescent="0.3">
      <c r="B24" s="30" t="s">
        <v>712</v>
      </c>
    </row>
    <row r="25" spans="2:4" x14ac:dyDescent="0.3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714</v>
      </c>
    </row>
    <row r="2" spans="1:10" x14ac:dyDescent="0.3">
      <c r="A2" s="37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733</v>
      </c>
    </row>
    <row r="2" spans="1:11" x14ac:dyDescent="0.3">
      <c r="A2" s="37" t="s">
        <v>2</v>
      </c>
    </row>
    <row r="3" spans="1:11" x14ac:dyDescent="0.3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740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749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750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718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757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3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6" t="s">
        <v>778</v>
      </c>
      <c r="L6" s="146"/>
      <c r="M6" s="147"/>
      <c r="N6" s="118" t="s">
        <v>774</v>
      </c>
      <c r="R6" s="115"/>
    </row>
    <row r="7" spans="1:18" ht="19.5" thickTop="1" x14ac:dyDescent="0.3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8" t="s">
        <v>782</v>
      </c>
      <c r="L15" s="148"/>
    </row>
    <row r="16" spans="1:18" x14ac:dyDescent="0.3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3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49" t="s">
        <v>76</v>
      </c>
      <c r="C1" s="149"/>
    </row>
    <row r="2" spans="1:13" x14ac:dyDescent="0.3">
      <c r="A2" s="37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49" t="s">
        <v>78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850</v>
      </c>
      <c r="D4" s="140" t="s">
        <v>363</v>
      </c>
      <c r="G4" t="s">
        <v>851</v>
      </c>
    </row>
    <row r="5" spans="1:13" x14ac:dyDescent="0.3">
      <c r="B5" s="30">
        <v>43031</v>
      </c>
      <c r="C5" t="s">
        <v>852</v>
      </c>
      <c r="D5">
        <v>100</v>
      </c>
      <c r="G5" t="s">
        <v>853</v>
      </c>
    </row>
    <row r="6" spans="1:13" x14ac:dyDescent="0.3">
      <c r="B6" s="30">
        <v>43031</v>
      </c>
      <c r="C6" t="s">
        <v>854</v>
      </c>
      <c r="D6">
        <v>200</v>
      </c>
      <c r="G6" t="s">
        <v>855</v>
      </c>
    </row>
    <row r="7" spans="1:13" x14ac:dyDescent="0.3">
      <c r="B7" s="30">
        <v>43032</v>
      </c>
      <c r="C7" t="s">
        <v>856</v>
      </c>
      <c r="D7">
        <v>100</v>
      </c>
      <c r="G7" t="s">
        <v>857</v>
      </c>
    </row>
    <row r="8" spans="1:13" x14ac:dyDescent="0.3">
      <c r="B8" s="30">
        <v>43032</v>
      </c>
      <c r="C8" t="s">
        <v>852</v>
      </c>
      <c r="D8">
        <v>300</v>
      </c>
      <c r="G8" t="s">
        <v>858</v>
      </c>
    </row>
    <row r="9" spans="1:13" x14ac:dyDescent="0.3">
      <c r="B9" s="30">
        <v>43032</v>
      </c>
      <c r="C9" t="s">
        <v>852</v>
      </c>
      <c r="D9">
        <v>700</v>
      </c>
      <c r="G9" t="s">
        <v>859</v>
      </c>
    </row>
    <row r="10" spans="1:13" x14ac:dyDescent="0.3">
      <c r="B10" s="30">
        <v>43031</v>
      </c>
      <c r="C10" t="s">
        <v>856</v>
      </c>
      <c r="D10">
        <v>100</v>
      </c>
      <c r="G10" t="s">
        <v>860</v>
      </c>
    </row>
    <row r="11" spans="1:13" x14ac:dyDescent="0.3">
      <c r="B11" s="30">
        <v>43032</v>
      </c>
      <c r="C11" t="s">
        <v>854</v>
      </c>
      <c r="D11">
        <v>200</v>
      </c>
    </row>
    <row r="12" spans="1:13" x14ac:dyDescent="0.3">
      <c r="B12" s="30">
        <v>43032</v>
      </c>
      <c r="C12" t="s">
        <v>854</v>
      </c>
      <c r="D12">
        <v>500</v>
      </c>
    </row>
    <row r="13" spans="1:13" x14ac:dyDescent="0.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861</v>
      </c>
      <c r="B3" t="s">
        <v>862</v>
      </c>
    </row>
    <row r="4" spans="1:2" x14ac:dyDescent="0.3">
      <c r="A4" s="13" t="s">
        <v>863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864</v>
      </c>
      <c r="B6" s="134">
        <v>341.29999999999995</v>
      </c>
    </row>
    <row r="7" spans="1:2" x14ac:dyDescent="0.3">
      <c r="A7" s="13" t="s">
        <v>670</v>
      </c>
      <c r="B7" s="134">
        <v>167.76000000000002</v>
      </c>
    </row>
    <row r="8" spans="1:2" x14ac:dyDescent="0.3">
      <c r="A8" s="13" t="s">
        <v>667</v>
      </c>
      <c r="B8" s="134">
        <v>379.79999999999995</v>
      </c>
    </row>
    <row r="9" spans="1:2" x14ac:dyDescent="0.3">
      <c r="A9" s="13" t="s">
        <v>865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861</v>
      </c>
      <c r="B3" t="s">
        <v>867</v>
      </c>
    </row>
    <row r="4" spans="1:2" x14ac:dyDescent="0.3">
      <c r="A4" s="13" t="s">
        <v>863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864</v>
      </c>
      <c r="B6" s="134">
        <v>8778.9009999999998</v>
      </c>
    </row>
    <row r="7" spans="1:2" x14ac:dyDescent="0.3">
      <c r="A7" s="13" t="s">
        <v>670</v>
      </c>
      <c r="B7" s="134">
        <v>6006.1912000000011</v>
      </c>
    </row>
    <row r="8" spans="1:2" x14ac:dyDescent="0.3">
      <c r="A8" s="13" t="s">
        <v>667</v>
      </c>
      <c r="B8" s="134">
        <v>11048.359999999999</v>
      </c>
    </row>
    <row r="9" spans="1:2" x14ac:dyDescent="0.3">
      <c r="A9" s="13" t="s">
        <v>865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49" t="s">
        <v>81</v>
      </c>
      <c r="C1" s="149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K1" sqref="K1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955</v>
      </c>
    </row>
    <row r="3" spans="1:7" ht="24" thickBot="1" x14ac:dyDescent="0.4">
      <c r="A3" s="150" t="s">
        <v>958</v>
      </c>
      <c r="B3" s="151"/>
      <c r="C3" s="151"/>
      <c r="D3" s="151"/>
      <c r="E3" s="151"/>
      <c r="F3" s="151"/>
      <c r="G3" s="152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955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49"/>
      <c r="C1" s="149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967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977</v>
      </c>
    </row>
    <row r="4" spans="2:3" x14ac:dyDescent="0.3">
      <c r="C4" s="133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978</v>
      </c>
    </row>
    <row r="4" spans="2:13" x14ac:dyDescent="0.3">
      <c r="C4" s="133" t="s">
        <v>967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jaydip talsaniya</cp:lastModifiedBy>
  <cp:revision/>
  <dcterms:created xsi:type="dcterms:W3CDTF">2024-10-17T16:19:15Z</dcterms:created>
  <dcterms:modified xsi:type="dcterms:W3CDTF">2026-07-09T10:12:52Z</dcterms:modified>
  <cp:category>IRA Skills</cp:category>
  <cp:contentStatus/>
</cp:coreProperties>
</file>