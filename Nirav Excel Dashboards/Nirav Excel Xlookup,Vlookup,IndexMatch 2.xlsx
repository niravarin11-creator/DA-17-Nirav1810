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9495236-2992-425F-BFE9-893B5672519E}" xr6:coauthVersionLast="47" xr6:coauthVersionMax="47" xr10:uidLastSave="{00000000-0000-0000-0000-000000000000}"/>
  <bookViews>
    <workbookView xWindow="-110" yWindow="-110" windowWidth="19420" windowHeight="10420" xr2:uid="{88BC2BBA-95A7-4A4E-ACAE-F9BB25446D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0" i="1" l="1"/>
  <c r="I10" i="1"/>
  <c r="L13" i="1"/>
  <c r="L17" i="1" a="1"/>
  <c r="L17" i="1" s="1"/>
  <c r="Q10" i="1"/>
  <c r="N13" i="1"/>
  <c r="G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<sst xmlns="http://schemas.openxmlformats.org/spreadsheetml/2006/main" count="14" uniqueCount="14">
  <si>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Sr. No.</t>
  </si>
  <si>
    <t>Name</t>
  </si>
  <si>
    <t>A</t>
  </si>
  <si>
    <t>B</t>
  </si>
  <si>
    <t>C</t>
  </si>
  <si>
    <t>D</t>
  </si>
  <si>
    <t>Age</t>
  </si>
  <si>
    <t>Salary</t>
  </si>
  <si>
    <t>VLOOKUP</t>
  </si>
  <si>
    <t>INDEX</t>
  </si>
  <si>
    <t>MATCH</t>
  </si>
  <si>
    <t>INDEXMATCH</t>
  </si>
  <si>
    <t>INDEXMATCH with {}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</si>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</sst>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6B592-969A-427E-AB1E-68184D6DE464}">
  <dimension ref="A1:Q17"/>
  <sheetViews>
    <sheetView tabSelected="1" workbookViewId="0">
      <selection activeCell="B15" sqref="B15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6</v>
      </c>
      <c r="D1" t="s">
        <v>7</v>
      </c>
    </row>
    <row r="2" spans="1:17" x14ac:dyDescent="0.35">
      <c r="A2">
        <v>1</v>
      </c>
      <c r="B2" t="s">
        <v>2</v>
      </c>
      <c r="C2">
        <v>21</v>
      </c>
      <c r="D2">
        <v>23000</v>
      </c>
    </row>
    <row r="3" spans="1:17" x14ac:dyDescent="0.35">
      <c r="A3">
        <v>2</v>
      </c>
      <c r="B3" t="s">
        <v>3</v>
      </c>
      <c r="C3">
        <v>23</v>
      </c>
      <c r="D3">
        <v>21000</v>
      </c>
    </row>
    <row r="4" spans="1:17" x14ac:dyDescent="0.35">
      <c r="A4">
        <v>3</v>
      </c>
      <c r="B4" t="s">
        <v>4</v>
      </c>
      <c r="C4">
        <v>20</v>
      </c>
      <c r="D4">
        <v>24000</v>
      </c>
    </row>
    <row r="5" spans="1:17" x14ac:dyDescent="0.35">
      <c r="A5">
        <v>4</v>
      </c>
      <c r="B5" t="s">
        <v>5</v>
      </c>
      <c r="C5">
        <v>24</v>
      </c>
      <c r="D5">
        <v>25000</v>
      </c>
    </row>
    <row r="9" spans="1:17" x14ac:dyDescent="0.35">
      <c r="I9" t="s">
        <v>9</v>
      </c>
      <c r="K9" t="s">
        <v>10</v>
      </c>
      <c r="Q9" t="s">
        <v>13</v>
      </c>
    </row>
    <row r="10" spans="1:17" x14ac:dyDescent="0.35">
      <c r="F10" t="s">
        <v>8</v>
      </c>
      <c r="G10">
        <f>VLOOKUP(B3,B1:D5,3,)</f>
        <v>21000</v>
      </c>
      <c r="I10">
        <f>INDEX(D1:D5,3)</f>
        <v>21000</v>
      </c>
      <c r="K10">
        <f>MATCH(C3,C1:C5,)</f>
        <v>3</v>
      </c>
      <c r="Q10">
        <f>_xlfn.XLOOKUP(C2,C1:C5,D1:D5)</f>
        <v>23000</v>
      </c>
    </row>
    <row r="12" spans="1:17" x14ac:dyDescent="0.35">
      <c r="L12" t="s">
        <v>11</v>
      </c>
    </row>
    <row r="13" spans="1:17" x14ac:dyDescent="0.35">
      <c r="K13">
        <v>1</v>
      </c>
      <c r="L13" t="str">
        <f>INDEX(B2:B5,MATCH(D2,D2:D5))</f>
        <v>B</v>
      </c>
      <c r="N13">
        <f>INDEX(A2:A5,MATCH(C2,C2:C5))</f>
        <v>1</v>
      </c>
    </row>
    <row r="16" spans="1:17" x14ac:dyDescent="0.35">
      <c r="L16" t="s">
        <v>12</v>
      </c>
    </row>
    <row r="17" spans="12:13" x14ac:dyDescent="0.35">
      <c r="L17" t="str" cm="1">
        <f t="array" ref="L17:M17">INDEX(B1:D5,MATCH(A4,A1:A5,0),{1,3})</f>
        <v>C</v>
      </c>
      <c r="M17">
        <v>24000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</dc:creator>
  <cp:lastModifiedBy>HP</cp:lastModifiedBy>
  <dcterms:created xsi:type="dcterms:W3CDTF">2026-08-04T09:19:12Z</dcterms:created>
  <dcterms:modified xsi:type="dcterms:W3CDTF">2026-08-07T05:32:57Z</dcterms:modified>
</cp:coreProperties>
</file>