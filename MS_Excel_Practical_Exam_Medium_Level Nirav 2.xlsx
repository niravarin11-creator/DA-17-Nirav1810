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Library1\Downloads\"/>
    </mc:Choice>
  </mc:AlternateContent>
  <xr:revisionPtr revIDLastSave="0" documentId="8_{8C169B66-2C3A-48A5-9632-A5E9790FDFC6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Sheet1" sheetId="6" r:id="rId6"/>
    <sheet name="Sheet2" sheetId="7" r:id="rId7"/>
  </sheets>
  <definedNames>
    <definedName name="_xlnm._FilterDatabase" localSheetId="5" hidden="1">Sheet1!$E$63:$G$69</definedName>
  </definedNames>
  <calcPr calcId="191029"/>
  <pivotCaches>
    <pivotCache cacheId="9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4" i="6" l="1"/>
  <c r="E75" i="6"/>
  <c r="E76" i="6"/>
  <c r="E77" i="6"/>
  <c r="E78" i="6"/>
  <c r="E73" i="6"/>
  <c r="K3" i="6"/>
  <c r="J39" i="6"/>
  <c r="K39" i="6" s="1"/>
  <c r="I39" i="6"/>
  <c r="J40" i="6"/>
  <c r="K40" i="6" s="1"/>
  <c r="I40" i="6"/>
  <c r="J41" i="6"/>
  <c r="K41" i="6" s="1"/>
  <c r="I41" i="6"/>
  <c r="J42" i="6"/>
  <c r="K42" i="6" s="1"/>
  <c r="I42" i="6"/>
  <c r="J43" i="6"/>
  <c r="K43" i="6" s="1"/>
  <c r="I43" i="6"/>
  <c r="J44" i="6"/>
  <c r="K44" i="6" s="1"/>
  <c r="I44" i="6"/>
  <c r="K6" i="6"/>
  <c r="J8" i="6"/>
  <c r="K8" i="6" s="1"/>
  <c r="J7" i="6"/>
  <c r="K7" i="6" s="1"/>
  <c r="J6" i="6"/>
  <c r="J5" i="6"/>
  <c r="K5" i="6" s="1"/>
  <c r="J4" i="6"/>
  <c r="K4" i="6" s="1"/>
  <c r="J3" i="6"/>
  <c r="G13" i="6"/>
  <c r="G14" i="6"/>
  <c r="G12" i="6"/>
  <c r="N62" i="6"/>
  <c r="N63" i="6"/>
  <c r="N64" i="6"/>
  <c r="N65" i="6"/>
  <c r="N66" i="6"/>
  <c r="N61" i="6"/>
  <c r="M58" i="6"/>
  <c r="M55" i="6"/>
  <c r="M56" i="6"/>
  <c r="M57" i="6"/>
  <c r="M54" i="6"/>
  <c r="M51" i="6"/>
  <c r="M48" i="6"/>
  <c r="C31" i="6"/>
  <c r="C32" i="6"/>
  <c r="C33" i="6"/>
  <c r="C34" i="6"/>
  <c r="C35" i="6"/>
  <c r="C30" i="6"/>
  <c r="L13" i="6"/>
  <c r="L14" i="6"/>
  <c r="M15" i="6"/>
  <c r="M16" i="6"/>
  <c r="S26" i="6"/>
  <c r="S27" i="6"/>
  <c r="S28" i="6"/>
  <c r="S29" i="6"/>
  <c r="S25" i="6"/>
  <c r="M22" i="6"/>
  <c r="L12" i="6"/>
  <c r="T4" i="6"/>
  <c r="T5" i="6"/>
  <c r="T6" i="6"/>
  <c r="T7" i="6"/>
  <c r="T3" i="6"/>
  <c r="C19" i="6" a="1"/>
  <c r="C19" i="6" s="1"/>
  <c r="I4" i="6"/>
  <c r="I5" i="6"/>
  <c r="F14" i="6" s="1"/>
  <c r="G19" i="6" s="1"/>
  <c r="I6" i="6"/>
  <c r="I7" i="6"/>
  <c r="F13" i="6" s="1"/>
  <c r="G18" i="6" s="1"/>
  <c r="I8" i="6"/>
  <c r="I3" i="6"/>
  <c r="B16" i="6"/>
  <c r="I8" i="2"/>
  <c r="I3" i="2"/>
  <c r="I4" i="2"/>
  <c r="I5" i="2"/>
  <c r="I6" i="2"/>
  <c r="I7" i="2"/>
  <c r="I2" i="2"/>
  <c r="J32" i="5"/>
  <c r="K45" i="6" l="1"/>
  <c r="I45" i="6"/>
  <c r="H28" i="6"/>
  <c r="H27" i="6"/>
  <c r="H26" i="6"/>
  <c r="K9" i="6"/>
  <c r="F12" i="6"/>
  <c r="G17" i="6" s="1"/>
  <c r="G22" i="6" s="1"/>
  <c r="B26" i="6"/>
  <c r="H25" i="6"/>
  <c r="B27" i="6"/>
  <c r="N19" i="6"/>
  <c r="I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<sst xmlns="http://schemas.openxmlformats.org/spreadsheetml/2006/main" count="311" uniqueCount="123">
  <si>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</si>
  <si>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</si>
  <si>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</si>
  <si>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</si>
  <si>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</si>
  <si>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</si>
  <si>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</si>
  <si>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</si>
  <si>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</si>
  <si>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</si>
  <si>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</si>
  <si>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</si>
  <si>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</si>
  <si>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</si>
  <si>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</si>
  <si>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</si>
  <si>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</si>
  <si>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</si>
  <si>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</si>
  <si>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</si>
  <si>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</si>
  <si>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</si>
  <si>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</si>
  <si>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</si>
  <si>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</si>
  <si>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</si>
  <si>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</si>
  <si>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</si>
  <si>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</si>
  <si>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</si>
  <si>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</si>
  <si>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</si>
  <si>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</si>
  <si>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</si>
  <si>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</si>
  <si>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</si>
  <si>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</si>
  <si>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</si>
  <si>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</si>
  <si>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</si>
  <si>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</si>
  <si>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</si>
  <si>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</si>
  <si>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</si>
  <si>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</si>
  <si>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</si>
  <si>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</si>
  <si>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</si>
  <si>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</si>
  <si>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</si>
  <si>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</si>
  <si>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</si>
  <si>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</si>
  <si>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</si>
  <si>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</si>
  <si>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</si>
  <si>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</si>
  <si>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</si>
  <si>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</si>
  <si>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</si>
  <si>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</si>
  <si>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</si>
  <si>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</si>
  <si>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</si>
  <si>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</si>
  <si>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</si>
  <si>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</si>
  <si>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</si>
  <si>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</si>
  <si>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</si>
  <si>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</si>
  <si>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</si>
  <si>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</si>
  <si>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 Sales Per Order</t>
  </si>
  <si>
    <t>Q1</t>
  </si>
  <si>
    <t>Q2</t>
  </si>
  <si>
    <t>Unit Price</t>
  </si>
  <si>
    <t>GST Amount</t>
  </si>
  <si>
    <t xml:space="preserve">Total Sales </t>
  </si>
  <si>
    <t>Total Sales</t>
  </si>
  <si>
    <t>Q5</t>
  </si>
  <si>
    <t>Total Orders</t>
  </si>
  <si>
    <t>Q6</t>
  </si>
  <si>
    <t>Q7</t>
  </si>
  <si>
    <t>IF function</t>
  </si>
  <si>
    <t>Q8</t>
  </si>
  <si>
    <t>Max</t>
  </si>
  <si>
    <t>Min</t>
  </si>
  <si>
    <t>Q9</t>
  </si>
  <si>
    <t>Month</t>
  </si>
  <si>
    <t>Q12</t>
  </si>
  <si>
    <t>Average Marks</t>
  </si>
  <si>
    <t>Q13</t>
  </si>
  <si>
    <t>Topper</t>
  </si>
  <si>
    <t>Q14</t>
  </si>
  <si>
    <t>Attendance&gt;90%</t>
  </si>
  <si>
    <t>Q15</t>
  </si>
  <si>
    <t>Eligiblity</t>
  </si>
  <si>
    <t>Q19</t>
  </si>
  <si>
    <t>Q20</t>
  </si>
  <si>
    <t>Median Of Statistic</t>
  </si>
  <si>
    <t>Q21</t>
  </si>
  <si>
    <t>S.D. Of Excel</t>
  </si>
  <si>
    <t>Q22</t>
  </si>
  <si>
    <t>CONCAT</t>
  </si>
  <si>
    <t>Q23</t>
  </si>
  <si>
    <t>LEFT</t>
  </si>
  <si>
    <t>Final Amount</t>
  </si>
  <si>
    <t>Q3</t>
  </si>
  <si>
    <t>Q4</t>
  </si>
  <si>
    <t>Grand Total</t>
  </si>
  <si>
    <t>Sales +GST</t>
  </si>
  <si>
    <t>Q10</t>
  </si>
  <si>
    <t>Q16</t>
  </si>
  <si>
    <t>Row Labels</t>
  </si>
  <si>
    <t>Sum of Total Sales</t>
  </si>
  <si>
    <t>Q17</t>
  </si>
  <si>
    <t>Q18</t>
  </si>
  <si>
    <t>Sum of Sales +GST</t>
  </si>
  <si>
    <t>Q24</t>
  </si>
  <si>
    <t>Q25</t>
  </si>
  <si>
    <t>Q26</t>
  </si>
  <si>
    <t>Q27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</si>
</sst>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Sheet1!$Q$2</c:f>
              <c:strCache>
                <c:ptCount val="1"/>
                <c:pt idx="0">
                  <c:v>Excel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Sheet1!$M$3:$N$7</c:f>
              <c:multiLvlStrCache>
                <c:ptCount val="5"/>
                <c:lvl>
                  <c:pt idx="0">
                    <c:v>Rahul</c:v>
                  </c:pt>
                  <c:pt idx="1">
                    <c:v>Sneha</c:v>
                  </c:pt>
                  <c:pt idx="2">
                    <c:v>Arjun</c:v>
                  </c:pt>
                  <c:pt idx="3">
                    <c:v>Pooja</c:v>
                  </c:pt>
                  <c:pt idx="4">
                    <c:v>Vikas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Sheet1!$Q$3:$Q$7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72</c:v>
                </c:pt>
                <c:pt idx="3">
                  <c:v>94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2E-4C9A-8062-5B4EB0878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7339104"/>
        <c:axId val="7873395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Sheet1!$O$2</c15:sqref>
                        </c15:formulaRef>
                      </c:ext>
                    </c:extLst>
                    <c:strCache>
                      <c:ptCount val="1"/>
                      <c:pt idx="0">
                        <c:v>Maths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Sheet1!$M$3:$N$7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Rahul</c:v>
                        </c:pt>
                        <c:pt idx="1">
                          <c:v>Sneha</c:v>
                        </c:pt>
                        <c:pt idx="2">
                          <c:v>Arjun</c:v>
                        </c:pt>
                        <c:pt idx="3">
                          <c:v>Pooja</c:v>
                        </c:pt>
                        <c:pt idx="4">
                          <c:v>Vikas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Sheet1!$O$3:$O$7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78</c:v>
                      </c:pt>
                      <c:pt idx="1">
                        <c:v>88</c:v>
                      </c:pt>
                      <c:pt idx="2">
                        <c:v>65</c:v>
                      </c:pt>
                      <c:pt idx="3">
                        <c:v>92</c:v>
                      </c:pt>
                      <c:pt idx="4">
                        <c:v>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C2E-4C9A-8062-5B4EB087876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Sheet1!$P$2</c15:sqref>
                        </c15:formulaRef>
                      </c:ext>
                    </c:extLst>
                    <c:strCache>
                      <c:ptCount val="1"/>
                      <c:pt idx="0">
                        <c:v>Statistics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Sheet1!$M$3:$N$7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Rahul</c:v>
                        </c:pt>
                        <c:pt idx="1">
                          <c:v>Sneha</c:v>
                        </c:pt>
                        <c:pt idx="2">
                          <c:v>Arjun</c:v>
                        </c:pt>
                        <c:pt idx="3">
                          <c:v>Pooja</c:v>
                        </c:pt>
                        <c:pt idx="4">
                          <c:v>Vikas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Sheet1!$P$3:$P$7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82</c:v>
                      </c:pt>
                      <c:pt idx="1">
                        <c:v>91</c:v>
                      </c:pt>
                      <c:pt idx="2">
                        <c:v>70</c:v>
                      </c:pt>
                      <c:pt idx="3">
                        <c:v>89</c:v>
                      </c:pt>
                      <c:pt idx="4">
                        <c:v>60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C2E-4C9A-8062-5B4EB087876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Sheet1!$R$2</c15:sqref>
                        </c15:formulaRef>
                      </c:ext>
                    </c:extLst>
                    <c:strCache>
                      <c:ptCount val="1"/>
                      <c:pt idx="0">
                        <c:v>Attendance_%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Sheet1!$M$3:$N$7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Rahul</c:v>
                        </c:pt>
                        <c:pt idx="1">
                          <c:v>Sneha</c:v>
                        </c:pt>
                        <c:pt idx="2">
                          <c:v>Arjun</c:v>
                        </c:pt>
                        <c:pt idx="3">
                          <c:v>Pooja</c:v>
                        </c:pt>
                        <c:pt idx="4">
                          <c:v>Vikas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Sheet1!$R$3:$R$7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92</c:v>
                      </c:pt>
                      <c:pt idx="1">
                        <c:v>96</c:v>
                      </c:pt>
                      <c:pt idx="2">
                        <c:v>85</c:v>
                      </c:pt>
                      <c:pt idx="3">
                        <c:v>98</c:v>
                      </c:pt>
                      <c:pt idx="4">
                        <c:v>80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C2E-4C9A-8062-5B4EB087876F}"/>
                  </c:ext>
                </c:extLst>
              </c15:ser>
            </c15:filteredBarSeries>
          </c:ext>
        </c:extLst>
      </c:barChart>
      <c:catAx>
        <c:axId val="78733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39520"/>
        <c:crosses val="autoZero"/>
        <c:auto val="1"/>
        <c:lblAlgn val="ctr"/>
        <c:lblOffset val="100"/>
        <c:noMultiLvlLbl val="0"/>
      </c:catAx>
      <c:valAx>
        <c:axId val="78733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30</xdr:row>
      <xdr:rowOff>23812</xdr:rowOff>
    </xdr:from>
    <xdr:to>
      <xdr:col>19</xdr:col>
      <xdr:colOff>38100</xdr:colOff>
      <xdr:row>44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1984F4-E7D7-95BB-D989-0F4D740C7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1" refreshedDate="46210.743898148146" createdVersion="8" refreshedVersion="8" minRefreshableVersion="3" recordCount="6" xr:uid="{CE3B3E4D-EEFB-4676-9304-3149B087CDAA}">
  <cacheSource type="worksheet">
    <worksheetSource ref="B2:K8" sheet="Sheet1"/>
  </cacheSource>
  <cacheFields count="10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Total Sales" numFmtId="0">
      <sharedItems containsSemiMixedTypes="0" containsString="0" containsNumber="1" containsInteger="1" minValue="45000" maxValue="90000"/>
    </cacheField>
    <cacheField name="Sales +GST" numFmtId="0">
      <sharedItems containsSemiMixedTypes="0" containsString="0" containsNumber="1" containsInteger="1" minValue="16800" maxValue="53100"/>
    </cacheField>
    <cacheField name="Final Amount" numFmtId="0">
      <sharedItems containsSemiMixedTypes="0" containsString="0" containsNumber="1" containsInteger="1" minValue="53100" maxValue="10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n v="90000"/>
    <n v="53100"/>
    <n v="106200"/>
  </r>
  <r>
    <n v="302"/>
    <x v="1"/>
    <s v="Riya"/>
    <x v="1"/>
    <n v="5"/>
    <n v="15000"/>
    <s v="07-01-2025"/>
    <n v="75000"/>
    <n v="16800"/>
    <n v="84000"/>
  </r>
  <r>
    <n v="303"/>
    <x v="2"/>
    <s v="Kunal"/>
    <x v="2"/>
    <n v="3"/>
    <n v="18000"/>
    <s v="10-01-2025"/>
    <n v="54000"/>
    <n v="20160"/>
    <n v="60480"/>
  </r>
  <r>
    <n v="304"/>
    <x v="3"/>
    <s v="Neha"/>
    <x v="0"/>
    <n v="1"/>
    <n v="45000"/>
    <s v="12-01-2025"/>
    <n v="45000"/>
    <n v="53100"/>
    <n v="53100"/>
  </r>
  <r>
    <n v="305"/>
    <x v="0"/>
    <s v="Amit"/>
    <x v="1"/>
    <n v="4"/>
    <n v="15000"/>
    <s v="15-01-2025"/>
    <n v="60000"/>
    <n v="16800"/>
    <n v="67200"/>
  </r>
  <r>
    <n v="306"/>
    <x v="1"/>
    <s v="Riya"/>
    <x v="0"/>
    <n v="2"/>
    <n v="45000"/>
    <s v="18-01-2025"/>
    <n v="90000"/>
    <n v="53100"/>
    <n v="106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13590-4BD5-4F72-BA45-3EA771EF68C1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9:G53" firstHeaderRow="1" firstDataRow="1" firstDataCol="1"/>
  <pivotFields count="10"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+GS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22795-7165-48A8-95D0-9F66BEEE0ADE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5:C60" firstHeaderRow="1" firstDataRow="1" firstDataCol="1"/>
  <pivotFields count="10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3DFF4-000A-423E-B24E-408CB1EC527C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9:C53" firstHeaderRow="1" firstDataRow="1" firstDataCol="1"/>
  <pivotFields count="10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E37" sqref="E37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E19" sqref="E19"/>
    </sheetView>
  </sheetViews>
  <sheetFormatPr defaultRowHeight="15" x14ac:dyDescent="0.25"/>
  <sheetData>
    <row r="1" spans="1: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I1" t="s">
        <v>73</v>
      </c>
    </row>
    <row r="2" spans="1:9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I2">
        <f>SUMPRODUCT(E2:F2)</f>
        <v>45002</v>
      </c>
    </row>
    <row r="3" spans="1:9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I3">
        <f t="shared" ref="I3:I7" si="0">SUMPRODUCT(E3:F3)</f>
        <v>15005</v>
      </c>
    </row>
    <row r="4" spans="1:9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I4">
        <f t="shared" si="0"/>
        <v>18003</v>
      </c>
    </row>
    <row r="5" spans="1:9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I5">
        <f t="shared" si="0"/>
        <v>45001</v>
      </c>
    </row>
    <row r="6" spans="1:9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I6">
        <f t="shared" si="0"/>
        <v>15004</v>
      </c>
    </row>
    <row r="7" spans="1:9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I7">
        <f t="shared" si="0"/>
        <v>45002</v>
      </c>
    </row>
    <row r="8" spans="1:9" x14ac:dyDescent="0.25">
      <c r="I8">
        <f>SUM(I2:I7)</f>
        <v>183017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D2" sqref="D2"/>
    </sheetView>
  </sheetViews>
  <sheetFormatPr defaultRowHeight="15" x14ac:dyDescent="0.25"/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E16" sqref="E16"/>
    </sheetView>
  </sheetViews>
  <sheetFormatPr defaultRowHeight="15" x14ac:dyDescent="0.2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abSelected="1" topLeftCell="A10" workbookViewId="0">
      <selection activeCell="U20" sqref="U20"/>
    </sheetView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0882-8417-4F03-86E8-490B478DE73A}">
  <sheetPr filterMode="1"/>
  <dimension ref="A1:T78"/>
  <sheetViews>
    <sheetView topLeftCell="A55" workbookViewId="0">
      <selection activeCell="G72" sqref="G72"/>
    </sheetView>
  </sheetViews>
  <sheetFormatPr defaultRowHeight="15" x14ac:dyDescent="0.25"/>
  <cols>
    <col min="2" max="2" width="13.140625" bestFit="1" customWidth="1"/>
    <col min="3" max="3" width="17.28515625" bestFit="1" customWidth="1"/>
    <col min="6" max="6" width="13.140625" bestFit="1" customWidth="1"/>
    <col min="7" max="7" width="17.28515625" bestFit="1" customWidth="1"/>
    <col min="8" max="8" width="17" bestFit="1" customWidth="1"/>
    <col min="9" max="9" width="10.28515625" customWidth="1"/>
    <col min="10" max="10" width="10.140625" customWidth="1"/>
    <col min="11" max="11" width="12.42578125" customWidth="1"/>
    <col min="12" max="12" width="12.7109375" customWidth="1"/>
    <col min="13" max="13" width="13.7109375" customWidth="1"/>
  </cols>
  <sheetData>
    <row r="1" spans="1:20" x14ac:dyDescent="0.25">
      <c r="A1" t="s">
        <v>74</v>
      </c>
    </row>
    <row r="2" spans="1:20" x14ac:dyDescent="0.25"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79</v>
      </c>
      <c r="J2" t="s">
        <v>111</v>
      </c>
      <c r="K2" t="s">
        <v>107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T2" t="s">
        <v>91</v>
      </c>
    </row>
    <row r="3" spans="1:20" x14ac:dyDescent="0.25">
      <c r="B3">
        <v>301</v>
      </c>
      <c r="C3" t="s">
        <v>11</v>
      </c>
      <c r="D3" t="s">
        <v>12</v>
      </c>
      <c r="E3" t="s">
        <v>13</v>
      </c>
      <c r="F3">
        <v>2</v>
      </c>
      <c r="G3">
        <v>45000</v>
      </c>
      <c r="H3" t="s">
        <v>14</v>
      </c>
      <c r="I3">
        <f>PRODUCT(F3:G3)</f>
        <v>90000</v>
      </c>
      <c r="J3">
        <f>G3+G12</f>
        <v>53100</v>
      </c>
      <c r="K3">
        <f>PRODUCT(J3,F3)</f>
        <v>106200</v>
      </c>
      <c r="M3">
        <v>1</v>
      </c>
      <c r="N3" t="s">
        <v>37</v>
      </c>
      <c r="O3">
        <v>78</v>
      </c>
      <c r="P3">
        <v>82</v>
      </c>
      <c r="Q3">
        <v>85</v>
      </c>
      <c r="R3">
        <v>92</v>
      </c>
      <c r="T3">
        <f>AVERAGE(O3:Q3)</f>
        <v>81.666666666666671</v>
      </c>
    </row>
    <row r="4" spans="1:20" x14ac:dyDescent="0.25">
      <c r="B4">
        <v>302</v>
      </c>
      <c r="C4" t="s">
        <v>15</v>
      </c>
      <c r="D4" t="s">
        <v>16</v>
      </c>
      <c r="E4" t="s">
        <v>17</v>
      </c>
      <c r="F4">
        <v>5</v>
      </c>
      <c r="G4">
        <v>15000</v>
      </c>
      <c r="H4" t="s">
        <v>18</v>
      </c>
      <c r="I4">
        <f>PRODUCT(F4:G4)</f>
        <v>75000</v>
      </c>
      <c r="J4">
        <f>G4+G13</f>
        <v>16800</v>
      </c>
      <c r="K4">
        <f>PRODUCT(J4,F4)</f>
        <v>84000</v>
      </c>
      <c r="M4">
        <v>2</v>
      </c>
      <c r="N4" t="s">
        <v>38</v>
      </c>
      <c r="O4">
        <v>88</v>
      </c>
      <c r="P4">
        <v>91</v>
      </c>
      <c r="Q4">
        <v>90</v>
      </c>
      <c r="R4">
        <v>96</v>
      </c>
      <c r="T4">
        <f t="shared" ref="T4:T7" si="0">AVERAGE(O4:Q4)</f>
        <v>89.666666666666671</v>
      </c>
    </row>
    <row r="5" spans="1:20" x14ac:dyDescent="0.25">
      <c r="B5">
        <v>303</v>
      </c>
      <c r="C5" t="s">
        <v>19</v>
      </c>
      <c r="D5" t="s">
        <v>20</v>
      </c>
      <c r="E5" t="s">
        <v>21</v>
      </c>
      <c r="F5">
        <v>3</v>
      </c>
      <c r="G5">
        <v>18000</v>
      </c>
      <c r="H5" t="s">
        <v>22</v>
      </c>
      <c r="I5">
        <f>PRODUCT(F5:G5)</f>
        <v>54000</v>
      </c>
      <c r="J5">
        <f>G5+G14</f>
        <v>20160</v>
      </c>
      <c r="K5">
        <f>PRODUCT(J5,F5)</f>
        <v>60480</v>
      </c>
      <c r="M5">
        <v>3</v>
      </c>
      <c r="N5" t="s">
        <v>39</v>
      </c>
      <c r="O5">
        <v>65</v>
      </c>
      <c r="P5">
        <v>70</v>
      </c>
      <c r="Q5">
        <v>72</v>
      </c>
      <c r="R5">
        <v>85</v>
      </c>
      <c r="T5">
        <f t="shared" si="0"/>
        <v>69</v>
      </c>
    </row>
    <row r="6" spans="1:20" x14ac:dyDescent="0.25">
      <c r="B6">
        <v>304</v>
      </c>
      <c r="C6" t="s">
        <v>23</v>
      </c>
      <c r="D6" t="s">
        <v>24</v>
      </c>
      <c r="E6" t="s">
        <v>13</v>
      </c>
      <c r="F6">
        <v>1</v>
      </c>
      <c r="G6">
        <v>45000</v>
      </c>
      <c r="H6" t="s">
        <v>25</v>
      </c>
      <c r="I6">
        <f>PRODUCT(F6:G6)</f>
        <v>45000</v>
      </c>
      <c r="J6">
        <f>G6+G12</f>
        <v>53100</v>
      </c>
      <c r="K6">
        <f>PRODUCT(J6,F6)</f>
        <v>53100</v>
      </c>
      <c r="M6">
        <v>4</v>
      </c>
      <c r="N6" t="s">
        <v>40</v>
      </c>
      <c r="O6">
        <v>92</v>
      </c>
      <c r="P6">
        <v>89</v>
      </c>
      <c r="Q6">
        <v>94</v>
      </c>
      <c r="R6">
        <v>98</v>
      </c>
      <c r="T6">
        <f t="shared" si="0"/>
        <v>91.666666666666671</v>
      </c>
    </row>
    <row r="7" spans="1:20" x14ac:dyDescent="0.25">
      <c r="B7">
        <v>305</v>
      </c>
      <c r="C7" t="s">
        <v>11</v>
      </c>
      <c r="D7" t="s">
        <v>12</v>
      </c>
      <c r="E7" t="s">
        <v>17</v>
      </c>
      <c r="F7">
        <v>4</v>
      </c>
      <c r="G7">
        <v>15000</v>
      </c>
      <c r="H7" t="s">
        <v>26</v>
      </c>
      <c r="I7">
        <f>PRODUCT(F7:G7)</f>
        <v>60000</v>
      </c>
      <c r="J7">
        <f>G7+G13</f>
        <v>16800</v>
      </c>
      <c r="K7">
        <f>PRODUCT(J7,F7)</f>
        <v>67200</v>
      </c>
      <c r="M7">
        <v>5</v>
      </c>
      <c r="N7" t="s">
        <v>41</v>
      </c>
      <c r="O7">
        <v>55</v>
      </c>
      <c r="P7">
        <v>60</v>
      </c>
      <c r="Q7">
        <v>58</v>
      </c>
      <c r="R7">
        <v>80</v>
      </c>
      <c r="T7">
        <f t="shared" si="0"/>
        <v>57.666666666666664</v>
      </c>
    </row>
    <row r="8" spans="1:20" x14ac:dyDescent="0.25">
      <c r="B8">
        <v>306</v>
      </c>
      <c r="C8" t="s">
        <v>15</v>
      </c>
      <c r="D8" t="s">
        <v>16</v>
      </c>
      <c r="E8" t="s">
        <v>13</v>
      </c>
      <c r="F8">
        <v>2</v>
      </c>
      <c r="G8">
        <v>45000</v>
      </c>
      <c r="H8" t="s">
        <v>27</v>
      </c>
      <c r="I8">
        <f>PRODUCT(F8:G8)</f>
        <v>90000</v>
      </c>
      <c r="J8">
        <f>G8+G12</f>
        <v>53100</v>
      </c>
      <c r="K8">
        <f>PRODUCT(J8,F8)</f>
        <v>106200</v>
      </c>
    </row>
    <row r="9" spans="1:20" x14ac:dyDescent="0.25">
      <c r="I9">
        <f>SUM(I3:I8)</f>
        <v>414000</v>
      </c>
      <c r="K9">
        <f>SUM(K3:K8)</f>
        <v>477180</v>
      </c>
    </row>
    <row r="10" spans="1:20" x14ac:dyDescent="0.25">
      <c r="A10" t="s">
        <v>75</v>
      </c>
    </row>
    <row r="11" spans="1:20" x14ac:dyDescent="0.25">
      <c r="B11" t="s">
        <v>7</v>
      </c>
      <c r="C11" t="s">
        <v>28</v>
      </c>
      <c r="D11" t="s">
        <v>29</v>
      </c>
      <c r="E11" t="s">
        <v>76</v>
      </c>
      <c r="F11" t="s">
        <v>78</v>
      </c>
      <c r="G11" t="s">
        <v>77</v>
      </c>
      <c r="K11" t="s">
        <v>90</v>
      </c>
      <c r="L11" t="s">
        <v>91</v>
      </c>
      <c r="M11" t="s">
        <v>32</v>
      </c>
    </row>
    <row r="12" spans="1:20" x14ac:dyDescent="0.25">
      <c r="B12" t="s">
        <v>13</v>
      </c>
      <c r="C12" t="s">
        <v>30</v>
      </c>
      <c r="D12" s="1">
        <v>0.18</v>
      </c>
      <c r="E12">
        <v>45000</v>
      </c>
      <c r="F12">
        <f>SUM(I3,I6,I8)</f>
        <v>225000</v>
      </c>
      <c r="G12">
        <f>VLOOKUP(B12,$B$12:$D$14,3,FALSE)*E12</f>
        <v>8100</v>
      </c>
      <c r="L12" s="2">
        <f>AVERAGE(O3:Q3)</f>
        <v>81.666666666666671</v>
      </c>
      <c r="M12" t="s">
        <v>37</v>
      </c>
    </row>
    <row r="13" spans="1:20" x14ac:dyDescent="0.25">
      <c r="B13" t="s">
        <v>17</v>
      </c>
      <c r="C13" t="s">
        <v>30</v>
      </c>
      <c r="D13" s="1">
        <v>0.12</v>
      </c>
      <c r="E13">
        <v>15000</v>
      </c>
      <c r="F13">
        <f>SUM(I4,I7)</f>
        <v>135000</v>
      </c>
      <c r="G13">
        <f>VLOOKUP(B13,$B$12:$D$14,3,FALSE)*E13</f>
        <v>1800</v>
      </c>
      <c r="L13" s="2">
        <f>AVERAGE(O4:Q4)</f>
        <v>89.666666666666671</v>
      </c>
      <c r="M13" t="s">
        <v>38</v>
      </c>
    </row>
    <row r="14" spans="1:20" x14ac:dyDescent="0.25">
      <c r="B14" t="s">
        <v>21</v>
      </c>
      <c r="C14" t="s">
        <v>30</v>
      </c>
      <c r="D14" s="1">
        <v>0.12</v>
      </c>
      <c r="E14">
        <v>18000</v>
      </c>
      <c r="F14">
        <f>SUM(I5)</f>
        <v>54000</v>
      </c>
      <c r="G14">
        <f>VLOOKUP(B14,$B$12:$D$14,3,FALSE)*E14</f>
        <v>2160</v>
      </c>
      <c r="L14" s="2">
        <f>AVERAGE(O5:Q5)</f>
        <v>69</v>
      </c>
      <c r="M14" t="s">
        <v>39</v>
      </c>
    </row>
    <row r="15" spans="1:20" x14ac:dyDescent="0.25">
      <c r="M15" s="2">
        <f t="shared" ref="M15:M16" si="1">AVERAGE(O6:Q6)</f>
        <v>91.666666666666671</v>
      </c>
      <c r="N15" t="s">
        <v>40</v>
      </c>
    </row>
    <row r="16" spans="1:20" x14ac:dyDescent="0.25">
      <c r="A16" t="s">
        <v>80</v>
      </c>
      <c r="B16">
        <f>COUNTA(B3:B8)</f>
        <v>6</v>
      </c>
      <c r="C16" t="s">
        <v>81</v>
      </c>
      <c r="F16" t="s">
        <v>108</v>
      </c>
      <c r="G16" t="s">
        <v>107</v>
      </c>
      <c r="M16" s="2">
        <f t="shared" si="1"/>
        <v>57.666666666666664</v>
      </c>
      <c r="N16" t="s">
        <v>41</v>
      </c>
    </row>
    <row r="17" spans="1:19" x14ac:dyDescent="0.25">
      <c r="G17">
        <f>SUM(F12,G12)</f>
        <v>233100</v>
      </c>
    </row>
    <row r="18" spans="1:19" x14ac:dyDescent="0.25">
      <c r="A18" t="s">
        <v>83</v>
      </c>
      <c r="B18" t="s">
        <v>8</v>
      </c>
      <c r="C18" t="s">
        <v>84</v>
      </c>
      <c r="G18">
        <f>SUM(F13,G13)</f>
        <v>136800</v>
      </c>
      <c r="K18" t="s">
        <v>92</v>
      </c>
      <c r="L18" t="s">
        <v>31</v>
      </c>
      <c r="M18" t="s">
        <v>32</v>
      </c>
      <c r="N18" t="s">
        <v>93</v>
      </c>
    </row>
    <row r="19" spans="1:19" x14ac:dyDescent="0.25">
      <c r="B19">
        <v>2</v>
      </c>
      <c r="C19" t="str" cm="1">
        <f t="array" ref="C19:C24">IF(F3:F8&gt;3,"High","Low")</f>
        <v>Low</v>
      </c>
      <c r="G19">
        <f>SUM(F14,G14)</f>
        <v>56160</v>
      </c>
      <c r="L19">
        <v>4</v>
      </c>
      <c r="M19" t="s">
        <v>40</v>
      </c>
      <c r="N19">
        <f>MAX(M12:M16)</f>
        <v>91.666666666666671</v>
      </c>
    </row>
    <row r="20" spans="1:19" x14ac:dyDescent="0.25">
      <c r="B20">
        <v>5</v>
      </c>
      <c r="C20" t="str">
        <v>High</v>
      </c>
    </row>
    <row r="21" spans="1:19" x14ac:dyDescent="0.25">
      <c r="B21">
        <v>3</v>
      </c>
      <c r="C21" t="str">
        <v>Low</v>
      </c>
      <c r="F21" t="s">
        <v>109</v>
      </c>
      <c r="G21" t="s">
        <v>110</v>
      </c>
      <c r="L21" t="s">
        <v>94</v>
      </c>
      <c r="M21" t="s">
        <v>95</v>
      </c>
    </row>
    <row r="22" spans="1:19" x14ac:dyDescent="0.25">
      <c r="B22">
        <v>1</v>
      </c>
      <c r="C22" t="str">
        <v>Low</v>
      </c>
      <c r="G22">
        <f>SUM(G17:G19)</f>
        <v>426060</v>
      </c>
      <c r="M22">
        <f>COUNTIF(R2:R7,"&gt;90")</f>
        <v>3</v>
      </c>
    </row>
    <row r="23" spans="1:19" x14ac:dyDescent="0.25">
      <c r="B23">
        <v>4</v>
      </c>
      <c r="C23" t="str">
        <v>High</v>
      </c>
    </row>
    <row r="24" spans="1:19" x14ac:dyDescent="0.25">
      <c r="B24">
        <v>2</v>
      </c>
      <c r="C24" t="str">
        <v>Low</v>
      </c>
      <c r="F24" t="s">
        <v>82</v>
      </c>
      <c r="G24" t="s">
        <v>5</v>
      </c>
      <c r="H24" t="s">
        <v>79</v>
      </c>
      <c r="L24" t="s">
        <v>96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97</v>
      </c>
    </row>
    <row r="25" spans="1:19" x14ac:dyDescent="0.25">
      <c r="G25" t="s">
        <v>11</v>
      </c>
      <c r="H25">
        <f>SUMIF(C3:C8,G25,K3:K8)</f>
        <v>173400</v>
      </c>
      <c r="M25">
        <v>1</v>
      </c>
      <c r="N25" t="s">
        <v>37</v>
      </c>
      <c r="O25">
        <v>78</v>
      </c>
      <c r="P25">
        <v>82</v>
      </c>
      <c r="Q25">
        <v>85</v>
      </c>
      <c r="R25">
        <v>92</v>
      </c>
      <c r="S25" t="str">
        <f>IF(R25&gt;=85,"Eligible","Not Eligible")</f>
        <v>Eligible</v>
      </c>
    </row>
    <row r="26" spans="1:19" x14ac:dyDescent="0.25">
      <c r="A26" t="s">
        <v>85</v>
      </c>
      <c r="B26">
        <f>MAX(I2:I8)</f>
        <v>90000</v>
      </c>
      <c r="C26" t="s">
        <v>86</v>
      </c>
      <c r="G26" t="s">
        <v>15</v>
      </c>
      <c r="H26">
        <f t="shared" ref="H26:H28" si="2">SUMIF(C4:C9,G26,K4:K9)</f>
        <v>190200</v>
      </c>
      <c r="M26">
        <v>2</v>
      </c>
      <c r="N26" t="s">
        <v>38</v>
      </c>
      <c r="O26">
        <v>88</v>
      </c>
      <c r="P26">
        <v>91</v>
      </c>
      <c r="Q26">
        <v>90</v>
      </c>
      <c r="R26">
        <v>96</v>
      </c>
      <c r="S26" t="str">
        <f t="shared" ref="S26:S29" si="3">IF(R26&gt;=85,"Eligible","Not Eligible")</f>
        <v>Eligible</v>
      </c>
    </row>
    <row r="27" spans="1:19" x14ac:dyDescent="0.25">
      <c r="B27">
        <f>MIN(I2:I8)</f>
        <v>45000</v>
      </c>
      <c r="C27" t="s">
        <v>87</v>
      </c>
      <c r="G27" t="s">
        <v>19</v>
      </c>
      <c r="H27">
        <f t="shared" si="2"/>
        <v>60480</v>
      </c>
      <c r="M27">
        <v>3</v>
      </c>
      <c r="N27" t="s">
        <v>39</v>
      </c>
      <c r="O27">
        <v>65</v>
      </c>
      <c r="P27">
        <v>70</v>
      </c>
      <c r="Q27">
        <v>72</v>
      </c>
      <c r="R27">
        <v>85</v>
      </c>
      <c r="S27" t="str">
        <f t="shared" si="3"/>
        <v>Eligible</v>
      </c>
    </row>
    <row r="28" spans="1:19" x14ac:dyDescent="0.25">
      <c r="G28" t="s">
        <v>23</v>
      </c>
      <c r="H28">
        <f t="shared" si="2"/>
        <v>53100</v>
      </c>
      <c r="M28">
        <v>4</v>
      </c>
      <c r="N28" t="s">
        <v>40</v>
      </c>
      <c r="O28">
        <v>92</v>
      </c>
      <c r="P28">
        <v>89</v>
      </c>
      <c r="Q28">
        <v>94</v>
      </c>
      <c r="R28">
        <v>98</v>
      </c>
      <c r="S28" t="str">
        <f t="shared" si="3"/>
        <v>Eligible</v>
      </c>
    </row>
    <row r="29" spans="1:19" x14ac:dyDescent="0.25">
      <c r="A29" t="s">
        <v>88</v>
      </c>
      <c r="B29" t="s">
        <v>10</v>
      </c>
      <c r="C29" t="s">
        <v>89</v>
      </c>
      <c r="M29">
        <v>5</v>
      </c>
      <c r="N29" t="s">
        <v>41</v>
      </c>
      <c r="O29">
        <v>55</v>
      </c>
      <c r="P29">
        <v>60</v>
      </c>
      <c r="Q29">
        <v>58</v>
      </c>
      <c r="R29">
        <v>80</v>
      </c>
      <c r="S29" t="str">
        <f t="shared" si="3"/>
        <v>Not Eligible</v>
      </c>
    </row>
    <row r="30" spans="1:19" x14ac:dyDescent="0.25">
      <c r="B30" s="3" t="s">
        <v>14</v>
      </c>
      <c r="C30" t="str">
        <f>TEXT(B30,"mmmmmmm")</f>
        <v>January</v>
      </c>
    </row>
    <row r="31" spans="1:19" x14ac:dyDescent="0.25">
      <c r="B31" t="s">
        <v>18</v>
      </c>
      <c r="C31" t="str">
        <f t="shared" ref="C31:C35" si="4">TEXT(B31,"mmmmmmm")</f>
        <v>January</v>
      </c>
      <c r="L31" t="s">
        <v>98</v>
      </c>
    </row>
    <row r="32" spans="1:19" x14ac:dyDescent="0.25">
      <c r="B32" t="s">
        <v>22</v>
      </c>
      <c r="C32" t="str">
        <f t="shared" si="4"/>
        <v>January</v>
      </c>
    </row>
    <row r="33" spans="1:13" x14ac:dyDescent="0.25">
      <c r="B33" t="s">
        <v>25</v>
      </c>
      <c r="C33" t="str">
        <f t="shared" si="4"/>
        <v>January</v>
      </c>
    </row>
    <row r="34" spans="1:13" x14ac:dyDescent="0.25">
      <c r="B34" t="s">
        <v>26</v>
      </c>
      <c r="C34" t="str">
        <f t="shared" si="4"/>
        <v>January</v>
      </c>
    </row>
    <row r="35" spans="1:13" x14ac:dyDescent="0.25">
      <c r="B35" t="s">
        <v>27</v>
      </c>
      <c r="C35" t="str">
        <f t="shared" si="4"/>
        <v>January</v>
      </c>
    </row>
    <row r="38" spans="1:13" x14ac:dyDescent="0.25">
      <c r="A38" t="s">
        <v>112</v>
      </c>
      <c r="B38" t="s">
        <v>4</v>
      </c>
      <c r="C38" t="s">
        <v>5</v>
      </c>
      <c r="D38" t="s">
        <v>6</v>
      </c>
      <c r="E38" t="s">
        <v>7</v>
      </c>
      <c r="F38" t="s">
        <v>8</v>
      </c>
      <c r="G38" t="s">
        <v>9</v>
      </c>
      <c r="H38" t="s">
        <v>10</v>
      </c>
      <c r="I38" t="s">
        <v>79</v>
      </c>
      <c r="J38" t="s">
        <v>111</v>
      </c>
      <c r="K38" t="s">
        <v>107</v>
      </c>
    </row>
    <row r="39" spans="1:13" x14ac:dyDescent="0.25">
      <c r="B39">
        <v>306</v>
      </c>
      <c r="C39" t="s">
        <v>15</v>
      </c>
      <c r="D39" t="s">
        <v>16</v>
      </c>
      <c r="E39" t="s">
        <v>13</v>
      </c>
      <c r="F39">
        <v>2</v>
      </c>
      <c r="G39">
        <v>45000</v>
      </c>
      <c r="H39" t="s">
        <v>27</v>
      </c>
      <c r="I39">
        <f>PRODUCT(F39:G39)</f>
        <v>90000</v>
      </c>
      <c r="J39">
        <f>G39+G43</f>
        <v>60000</v>
      </c>
      <c r="K39">
        <f>PRODUCT(J39,F39)</f>
        <v>120000</v>
      </c>
    </row>
    <row r="40" spans="1:13" x14ac:dyDescent="0.25">
      <c r="B40">
        <v>305</v>
      </c>
      <c r="C40" t="s">
        <v>11</v>
      </c>
      <c r="D40" t="s">
        <v>12</v>
      </c>
      <c r="E40" t="s">
        <v>17</v>
      </c>
      <c r="F40">
        <v>4</v>
      </c>
      <c r="G40">
        <v>15000</v>
      </c>
      <c r="H40" t="s">
        <v>26</v>
      </c>
      <c r="I40">
        <f>PRODUCT(F40:G40)</f>
        <v>60000</v>
      </c>
      <c r="J40">
        <f>G40+G46</f>
        <v>15000</v>
      </c>
      <c r="K40">
        <f>PRODUCT(J40,F40)</f>
        <v>60000</v>
      </c>
    </row>
    <row r="41" spans="1:13" x14ac:dyDescent="0.25">
      <c r="B41">
        <v>304</v>
      </c>
      <c r="C41" t="s">
        <v>23</v>
      </c>
      <c r="D41" t="s">
        <v>24</v>
      </c>
      <c r="E41" t="s">
        <v>13</v>
      </c>
      <c r="F41">
        <v>1</v>
      </c>
      <c r="G41">
        <v>45000</v>
      </c>
      <c r="H41" t="s">
        <v>25</v>
      </c>
      <c r="I41">
        <f>PRODUCT(F41:G41)</f>
        <v>45000</v>
      </c>
      <c r="J41">
        <f>G41+G47</f>
        <v>45000</v>
      </c>
      <c r="K41">
        <f>PRODUCT(J41,F41)</f>
        <v>45000</v>
      </c>
    </row>
    <row r="42" spans="1:13" x14ac:dyDescent="0.25">
      <c r="B42">
        <v>303</v>
      </c>
      <c r="C42" t="s">
        <v>19</v>
      </c>
      <c r="D42" t="s">
        <v>20</v>
      </c>
      <c r="E42" t="s">
        <v>21</v>
      </c>
      <c r="F42">
        <v>3</v>
      </c>
      <c r="G42">
        <v>18000</v>
      </c>
      <c r="H42" t="s">
        <v>22</v>
      </c>
      <c r="I42">
        <f>PRODUCT(F42:G42)</f>
        <v>54000</v>
      </c>
      <c r="J42">
        <f>G42+G51</f>
        <v>51600</v>
      </c>
      <c r="K42">
        <f>PRODUCT(J42,F42)</f>
        <v>154800</v>
      </c>
    </row>
    <row r="43" spans="1:13" x14ac:dyDescent="0.25">
      <c r="B43">
        <v>302</v>
      </c>
      <c r="C43" t="s">
        <v>15</v>
      </c>
      <c r="D43" t="s">
        <v>16</v>
      </c>
      <c r="E43" t="s">
        <v>17</v>
      </c>
      <c r="F43">
        <v>5</v>
      </c>
      <c r="G43">
        <v>15000</v>
      </c>
      <c r="H43" t="s">
        <v>18</v>
      </c>
      <c r="I43">
        <f>PRODUCT(F43:G43)</f>
        <v>75000</v>
      </c>
      <c r="J43">
        <f>G43+G52</f>
        <v>35160</v>
      </c>
      <c r="K43">
        <f>PRODUCT(J43,F43)</f>
        <v>175800</v>
      </c>
    </row>
    <row r="44" spans="1:13" x14ac:dyDescent="0.25">
      <c r="B44">
        <v>301</v>
      </c>
      <c r="C44" t="s">
        <v>11</v>
      </c>
      <c r="D44" t="s">
        <v>12</v>
      </c>
      <c r="E44" t="s">
        <v>13</v>
      </c>
      <c r="F44">
        <v>2</v>
      </c>
      <c r="G44">
        <v>45000</v>
      </c>
      <c r="H44" t="s">
        <v>14</v>
      </c>
      <c r="I44">
        <f>PRODUCT(F44:G44)</f>
        <v>90000</v>
      </c>
      <c r="J44">
        <f>G44+G53</f>
        <v>258060</v>
      </c>
      <c r="K44">
        <f>PRODUCT(J44,F44)</f>
        <v>516120</v>
      </c>
    </row>
    <row r="45" spans="1:13" x14ac:dyDescent="0.25">
      <c r="I45">
        <f>SUM(I39:I44)</f>
        <v>414000</v>
      </c>
      <c r="K45">
        <f>SUM(K39:K44)</f>
        <v>1071720</v>
      </c>
    </row>
    <row r="47" spans="1:13" x14ac:dyDescent="0.25">
      <c r="L47" t="s">
        <v>99</v>
      </c>
      <c r="M47" t="s">
        <v>100</v>
      </c>
    </row>
    <row r="48" spans="1:13" x14ac:dyDescent="0.25">
      <c r="M48">
        <f>MEDIAN(P3:P7)</f>
        <v>82</v>
      </c>
    </row>
    <row r="49" spans="1:14" x14ac:dyDescent="0.25">
      <c r="A49" t="s">
        <v>113</v>
      </c>
      <c r="B49" s="4" t="s">
        <v>114</v>
      </c>
      <c r="C49" t="s">
        <v>115</v>
      </c>
      <c r="E49" t="s">
        <v>117</v>
      </c>
      <c r="F49" s="4" t="s">
        <v>114</v>
      </c>
      <c r="G49" t="s">
        <v>118</v>
      </c>
    </row>
    <row r="50" spans="1:14" x14ac:dyDescent="0.25">
      <c r="B50" s="5" t="s">
        <v>13</v>
      </c>
      <c r="C50" s="6">
        <v>225000</v>
      </c>
      <c r="F50" s="5" t="s">
        <v>13</v>
      </c>
      <c r="G50" s="6">
        <v>159300</v>
      </c>
      <c r="L50" t="s">
        <v>101</v>
      </c>
      <c r="M50" t="s">
        <v>102</v>
      </c>
    </row>
    <row r="51" spans="1:14" x14ac:dyDescent="0.25">
      <c r="B51" s="5" t="s">
        <v>17</v>
      </c>
      <c r="C51" s="6">
        <v>135000</v>
      </c>
      <c r="F51" s="5" t="s">
        <v>17</v>
      </c>
      <c r="G51" s="6">
        <v>33600</v>
      </c>
      <c r="M51">
        <f>STDEV(Sheet1!Q3:Q7)</f>
        <v>14.737706741552426</v>
      </c>
    </row>
    <row r="52" spans="1:14" x14ac:dyDescent="0.25">
      <c r="B52" s="5" t="s">
        <v>21</v>
      </c>
      <c r="C52" s="6">
        <v>54000</v>
      </c>
      <c r="F52" s="5" t="s">
        <v>21</v>
      </c>
      <c r="G52" s="6">
        <v>20160</v>
      </c>
    </row>
    <row r="53" spans="1:14" x14ac:dyDescent="0.25">
      <c r="B53" s="5" t="s">
        <v>110</v>
      </c>
      <c r="C53" s="6">
        <v>414000</v>
      </c>
      <c r="F53" s="5" t="s">
        <v>110</v>
      </c>
      <c r="G53" s="6">
        <v>213060</v>
      </c>
      <c r="L53" t="s">
        <v>103</v>
      </c>
      <c r="M53" t="s">
        <v>104</v>
      </c>
    </row>
    <row r="54" spans="1:14" x14ac:dyDescent="0.25">
      <c r="M54" t="str">
        <f>_xlfn.CONCAT(M3:N3)</f>
        <v>1Rahul</v>
      </c>
    </row>
    <row r="55" spans="1:14" x14ac:dyDescent="0.25">
      <c r="A55" t="s">
        <v>116</v>
      </c>
      <c r="B55" s="4" t="s">
        <v>114</v>
      </c>
      <c r="C55" t="s">
        <v>115</v>
      </c>
      <c r="M55" t="str">
        <f>_xlfn.CONCAT(M4:N4)</f>
        <v>2Sneha</v>
      </c>
    </row>
    <row r="56" spans="1:14" x14ac:dyDescent="0.25">
      <c r="B56" s="5" t="s">
        <v>19</v>
      </c>
      <c r="C56" s="6">
        <v>54000</v>
      </c>
      <c r="M56" t="str">
        <f>_xlfn.CONCAT(M5:N5)</f>
        <v>3Arjun</v>
      </c>
    </row>
    <row r="57" spans="1:14" x14ac:dyDescent="0.25">
      <c r="B57" s="5" t="s">
        <v>11</v>
      </c>
      <c r="C57" s="6">
        <v>150000</v>
      </c>
      <c r="M57" t="str">
        <f>_xlfn.CONCAT(M6:N6)</f>
        <v>4Pooja</v>
      </c>
    </row>
    <row r="58" spans="1:14" x14ac:dyDescent="0.25">
      <c r="B58" s="5" t="s">
        <v>15</v>
      </c>
      <c r="C58" s="6">
        <v>165000</v>
      </c>
      <c r="M58" t="str">
        <f>_xlfn.CONCAT(M7:N7)</f>
        <v>5Vikas</v>
      </c>
    </row>
    <row r="59" spans="1:14" x14ac:dyDescent="0.25">
      <c r="B59" s="5" t="s">
        <v>23</v>
      </c>
      <c r="C59" s="6">
        <v>45000</v>
      </c>
    </row>
    <row r="60" spans="1:14" x14ac:dyDescent="0.25">
      <c r="B60" s="5" t="s">
        <v>110</v>
      </c>
      <c r="C60" s="6">
        <v>414000</v>
      </c>
      <c r="L60" t="s">
        <v>105</v>
      </c>
      <c r="M60" t="s">
        <v>6</v>
      </c>
      <c r="N60" t="s">
        <v>106</v>
      </c>
    </row>
    <row r="61" spans="1:14" x14ac:dyDescent="0.25">
      <c r="M61" t="s">
        <v>12</v>
      </c>
      <c r="N61" t="str">
        <f>LEFT(M61,2)</f>
        <v>Am</v>
      </c>
    </row>
    <row r="62" spans="1:14" x14ac:dyDescent="0.25">
      <c r="M62" t="s">
        <v>16</v>
      </c>
      <c r="N62" t="str">
        <f t="shared" ref="N62:N66" si="5">LEFT(M62,2)</f>
        <v>Ri</v>
      </c>
    </row>
    <row r="63" spans="1:14" x14ac:dyDescent="0.25">
      <c r="A63" t="s">
        <v>119</v>
      </c>
      <c r="B63" t="s">
        <v>7</v>
      </c>
      <c r="C63" t="s">
        <v>107</v>
      </c>
      <c r="E63" t="s">
        <v>120</v>
      </c>
      <c r="F63" t="s">
        <v>7</v>
      </c>
      <c r="G63" t="s">
        <v>8</v>
      </c>
      <c r="M63" t="s">
        <v>20</v>
      </c>
      <c r="N63" t="str">
        <f t="shared" si="5"/>
        <v>Ku</v>
      </c>
    </row>
    <row r="64" spans="1:14" x14ac:dyDescent="0.25">
      <c r="B64" t="s">
        <v>13</v>
      </c>
      <c r="C64">
        <v>106200</v>
      </c>
      <c r="F64" t="s">
        <v>13</v>
      </c>
      <c r="G64">
        <v>2</v>
      </c>
      <c r="M64" t="s">
        <v>24</v>
      </c>
      <c r="N64" t="str">
        <f t="shared" si="5"/>
        <v>Ne</v>
      </c>
    </row>
    <row r="65" spans="1:14" hidden="1" x14ac:dyDescent="0.25">
      <c r="B65" t="s">
        <v>17</v>
      </c>
      <c r="C65">
        <v>84000</v>
      </c>
      <c r="F65" t="s">
        <v>17</v>
      </c>
      <c r="G65">
        <v>5</v>
      </c>
      <c r="M65" t="s">
        <v>12</v>
      </c>
      <c r="N65" t="str">
        <f t="shared" si="5"/>
        <v>Am</v>
      </c>
    </row>
    <row r="66" spans="1:14" hidden="1" x14ac:dyDescent="0.25">
      <c r="B66" t="s">
        <v>21</v>
      </c>
      <c r="C66">
        <v>60480</v>
      </c>
      <c r="F66" t="s">
        <v>21</v>
      </c>
      <c r="G66">
        <v>3</v>
      </c>
      <c r="M66" t="s">
        <v>16</v>
      </c>
      <c r="N66" t="str">
        <f t="shared" si="5"/>
        <v>Ri</v>
      </c>
    </row>
    <row r="67" spans="1:14" hidden="1" x14ac:dyDescent="0.25">
      <c r="B67" t="s">
        <v>13</v>
      </c>
      <c r="C67">
        <v>53100</v>
      </c>
      <c r="F67" t="s">
        <v>13</v>
      </c>
      <c r="G67">
        <v>1</v>
      </c>
    </row>
    <row r="68" spans="1:14" hidden="1" x14ac:dyDescent="0.25">
      <c r="B68" t="s">
        <v>17</v>
      </c>
      <c r="C68">
        <v>67200</v>
      </c>
      <c r="F68" t="s">
        <v>17</v>
      </c>
      <c r="G68">
        <v>4</v>
      </c>
    </row>
    <row r="69" spans="1:14" x14ac:dyDescent="0.25">
      <c r="B69" t="s">
        <v>13</v>
      </c>
      <c r="C69">
        <v>106200</v>
      </c>
      <c r="F69" t="s">
        <v>13</v>
      </c>
      <c r="G69">
        <v>2</v>
      </c>
    </row>
    <row r="70" spans="1:14" x14ac:dyDescent="0.25">
      <c r="C70">
        <v>477180</v>
      </c>
    </row>
    <row r="72" spans="1:14" x14ac:dyDescent="0.25">
      <c r="A72" t="s">
        <v>121</v>
      </c>
      <c r="B72" t="s">
        <v>5</v>
      </c>
      <c r="C72" t="s">
        <v>7</v>
      </c>
      <c r="D72" t="s">
        <v>8</v>
      </c>
      <c r="G72" t="s">
        <v>122</v>
      </c>
    </row>
    <row r="73" spans="1:14" x14ac:dyDescent="0.25">
      <c r="B73" t="s">
        <v>11</v>
      </c>
      <c r="C73" t="s">
        <v>13</v>
      </c>
      <c r="D73">
        <v>2</v>
      </c>
      <c r="E73">
        <f>COUNTIF(B72:C78,"North")</f>
        <v>2</v>
      </c>
    </row>
    <row r="74" spans="1:14" x14ac:dyDescent="0.25">
      <c r="B74" t="s">
        <v>15</v>
      </c>
      <c r="C74" t="s">
        <v>17</v>
      </c>
      <c r="D74">
        <v>5</v>
      </c>
      <c r="E74">
        <f t="shared" ref="E74:E78" si="6">COUNTIF(B73:C79,"North")</f>
        <v>2</v>
      </c>
    </row>
    <row r="75" spans="1:14" x14ac:dyDescent="0.25">
      <c r="B75" t="s">
        <v>19</v>
      </c>
      <c r="C75" t="s">
        <v>21</v>
      </c>
      <c r="D75">
        <v>3</v>
      </c>
      <c r="E75">
        <f t="shared" si="6"/>
        <v>1</v>
      </c>
    </row>
    <row r="76" spans="1:14" x14ac:dyDescent="0.25">
      <c r="B76" t="s">
        <v>23</v>
      </c>
      <c r="C76" t="s">
        <v>13</v>
      </c>
      <c r="D76">
        <v>1</v>
      </c>
      <c r="E76">
        <f t="shared" si="6"/>
        <v>1</v>
      </c>
    </row>
    <row r="77" spans="1:14" x14ac:dyDescent="0.25">
      <c r="B77" t="s">
        <v>11</v>
      </c>
      <c r="C77" t="s">
        <v>17</v>
      </c>
      <c r="D77">
        <v>4</v>
      </c>
      <c r="E77">
        <f t="shared" si="6"/>
        <v>1</v>
      </c>
    </row>
    <row r="78" spans="1:14" x14ac:dyDescent="0.25">
      <c r="B78" t="s">
        <v>15</v>
      </c>
      <c r="C78" t="s">
        <v>13</v>
      </c>
      <c r="D78">
        <v>2</v>
      </c>
      <c r="E78">
        <f t="shared" si="6"/>
        <v>1</v>
      </c>
    </row>
  </sheetData>
  <autoFilter ref="E63:G69" xr:uid="{ED7D0882-8417-4F03-86E8-490B478DE73A}">
    <filterColumn colId="1">
      <filters>
        <filter val="Laptop"/>
      </filters>
    </filterColumn>
    <filterColumn colId="2">
      <filters>
        <filter val="2"/>
      </filters>
    </filterColumn>
  </autoFilter>
  <sortState xmlns:xlrd2="http://schemas.microsoft.com/office/spreadsheetml/2017/richdata2" ref="B39:K44">
    <sortCondition descending="1" ref="B38:B44"/>
  </sortState>
  <phoneticPr fontId="2" type="noConversion"/>
  <conditionalFormatting sqref="C63:C69">
    <cfRule type="cellIs" dxfId="0" priority="1" operator="greaterThan">
      <formula>60000</formula>
    </cfRule>
  </conditionalFormatting>
  <pageMargins left="0.7" right="0.7" top="0.75" bottom="0.75" header="0.3" footer="0.3"/>
  <pageSetup orientation="portrait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C91F-72D4-4386-923A-D7C962FFB0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Sales_Data</vt:lpstr>
      <vt:lpstr>Product_Master</vt:lpstr>
      <vt:lpstr>Student_Marks</vt:lpstr>
      <vt:lpstr>Questions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Library1</cp:lastModifiedBy>
  <dcterms:created xsi:type="dcterms:W3CDTF">2025-12-20T09:26:06Z</dcterms:created>
  <dcterms:modified xsi:type="dcterms:W3CDTF">2026-07-07T12:49:43Z</dcterms:modified>
</cp:coreProperties>
</file>