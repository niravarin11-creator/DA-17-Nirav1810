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BCC74393-77CF-4777-9516-B43320C672F3}" xr6:coauthVersionLast="47" xr6:coauthVersionMax="47" xr10:uidLastSave="{00000000-0000-0000-0000-000000000000}"/>
  <bookViews>
    <workbookView xWindow="-120" yWindow="-120" windowWidth="20730" windowHeight="11040" firstSheet="2" activeTab="7" xr2:uid="{BC978020-3D4F-4491-875C-11B5EA85048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11" sheetId="11" r:id="rId8"/>
    <sheet name="Sheet8" sheetId="8" r:id="rId9"/>
    <sheet name="Sheet9" sheetId="9" r:id="rId10"/>
    <sheet name="Sheet10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7" l="1"/>
  <c r="B22" i="7"/>
  <c r="H20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" i="6"/>
  <c r="C25" i="5"/>
  <c r="C24" i="5"/>
  <c r="C23" i="5"/>
  <c r="C22" i="5"/>
  <c r="C21" i="5"/>
  <c r="C26" i="4"/>
  <c r="C25" i="4"/>
  <c r="C24" i="4"/>
  <c r="C23" i="4"/>
  <c r="F3" i="3"/>
  <c r="F4" i="3"/>
  <c r="F5" i="3"/>
  <c r="F6" i="3"/>
  <c r="F2" i="3"/>
</calcChain>
</file>

<file path=xl/sharedStrings.xml><?xml version="1.0" encoding="utf-8"?>
<sst xmlns="http://schemas.openxmlformats.org/spreadsheetml/2006/main" count="421" uniqueCount="204">
  <si>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</si>
  <si>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</si>
  <si>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</si>
  <si>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</si>
  <si>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</si>
  <si>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</si>
  <si>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</si>
  <si>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</si>
  <si>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</si>
  <si>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</si>
  <si>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</si>
  <si>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</si>
  <si>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</si>
  <si>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</si>
  <si>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</si>
  <si>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</si>
  <si>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</si>
  <si>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</si>
  <si>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</si>
  <si>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</si>
  <si>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</si>
  <si>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</si>
  <si>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</si>
  <si>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</si>
  <si>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</si>
  <si>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</si>
  <si>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</si>
  <si>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</si>
  <si>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</si>
  <si>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</si>
  <si>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</si>
  <si>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</si>
  <si>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</si>
  <si>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</si>
  <si>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</si>
  <si>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</si>
  <si>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</si>
  <si>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</si>
  <si>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</si>
  <si>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</si>
  <si>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</si>
  <si>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</si>
  <si>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</si>
  <si>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</si>
  <si>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</si>
  <si>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</si>
  <si>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</si>
  <si>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</si>
  <si>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</si>
  <si>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</si>
  <si>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Monthly Sales Report</t>
  </si>
  <si>
    <t>Laptop Dell Inspiron 16</t>
  </si>
  <si>
    <t>Laptop Dell Inspiron 17</t>
  </si>
  <si>
    <t>Laptop Dell Inspiron 18</t>
  </si>
  <si>
    <t>Laptop Dell Inspiron 19</t>
  </si>
  <si>
    <t>Roll No.</t>
  </si>
  <si>
    <t>Maths</t>
  </si>
  <si>
    <t>Science</t>
  </si>
  <si>
    <t>English</t>
  </si>
  <si>
    <t>Percentage</t>
  </si>
  <si>
    <t>Aryan</t>
  </si>
  <si>
    <t>Neel</t>
  </si>
  <si>
    <t>Shlok</t>
  </si>
  <si>
    <t>Viren</t>
  </si>
  <si>
    <t>Dev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</si>
  <si>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</si>
  <si>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</si>
  <si>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</si>
  <si>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</si>
  <si>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</si>
  <si>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</si>
  <si>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</si>
  <si>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</si>
  <si>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</si>
  <si>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</si>
  <si>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</si>
  <si>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</si>
  <si>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</si>
  <si>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</si>
  <si>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</si>
  <si>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</si>
  <si>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</si>
  <si>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</si>
  <si>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</si>
  <si>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</si>
  <si>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</si>
  <si>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</si>
  <si>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 Sales</t>
  </si>
  <si>
    <t>Average Sale</t>
  </si>
  <si>
    <t>Highest Sale</t>
  </si>
  <si>
    <t>Lowest Sale</t>
  </si>
  <si>
    <t xml:space="preserve">Employee Name </t>
  </si>
  <si>
    <t>Suresh</t>
  </si>
  <si>
    <t>Jayesh</t>
  </si>
  <si>
    <t>Meena</t>
  </si>
  <si>
    <t>Jeet</t>
  </si>
  <si>
    <t>Nirmay</t>
  </si>
  <si>
    <t>Akash</t>
  </si>
  <si>
    <t>Anshul</t>
  </si>
  <si>
    <t>Daksha</t>
  </si>
  <si>
    <t>A</t>
  </si>
  <si>
    <t>Siddharth</t>
  </si>
  <si>
    <t>Ankur</t>
  </si>
  <si>
    <t>Ajay</t>
  </si>
  <si>
    <t>Yash</t>
  </si>
  <si>
    <t>Kamal</t>
  </si>
  <si>
    <t>Neer</t>
  </si>
  <si>
    <t>Zeel</t>
  </si>
  <si>
    <t>Vinod</t>
  </si>
  <si>
    <t>Vraj</t>
  </si>
  <si>
    <t>Varun</t>
  </si>
  <si>
    <t>HR Total Salary</t>
  </si>
  <si>
    <t>IT Total Salary</t>
  </si>
  <si>
    <t>Finance Total Salary</t>
  </si>
  <si>
    <t>Average Salary</t>
  </si>
  <si>
    <t>Count Employees</t>
  </si>
  <si>
    <t>Student Name</t>
  </si>
  <si>
    <t>Day 1</t>
  </si>
  <si>
    <t>Day 2</t>
  </si>
  <si>
    <t>Day 3</t>
  </si>
  <si>
    <t>Day 4</t>
  </si>
  <si>
    <t>Day 5</t>
  </si>
  <si>
    <t>Aakash</t>
  </si>
  <si>
    <t>P</t>
  </si>
  <si>
    <t>Bhavya</t>
  </si>
  <si>
    <t>Chirag</t>
  </si>
  <si>
    <t>Divya</t>
  </si>
  <si>
    <t>Alpesh</t>
  </si>
  <si>
    <t>Chetan</t>
  </si>
  <si>
    <t>Bittu</t>
  </si>
  <si>
    <t>Bhadresh</t>
  </si>
  <si>
    <t>Kavya</t>
  </si>
  <si>
    <t>Niyati</t>
  </si>
  <si>
    <t>Devarsh</t>
  </si>
  <si>
    <t>Akshata</t>
  </si>
  <si>
    <t>Ansh</t>
  </si>
  <si>
    <t>Priya</t>
  </si>
  <si>
    <t>Kabir</t>
  </si>
  <si>
    <t>Prateek</t>
  </si>
  <si>
    <t>Pranchi</t>
  </si>
  <si>
    <t>Hitesh</t>
  </si>
  <si>
    <t>Present Days</t>
  </si>
  <si>
    <t>Absent Days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</si>
  <si>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</si>
  <si>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</si>
  <si>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</si>
  <si>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</si>
  <si>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</si>
  <si>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</si>
  <si>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</si>
  <si>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</si>
  <si>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</si>
  <si>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</si>
  <si>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</si>
  <si>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</si>
  <si>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</si>
  <si>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</si>
  <si>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</si>
  <si>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</si>
  <si>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</si>
  <si>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</si>
  <si>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</si>
  <si>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</si>
  <si>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</si>
  <si>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CountIF Sales Above  10000</t>
  </si>
  <si>
    <t>CountIF Sales Below 5000</t>
  </si>
  <si>
    <t>Product</t>
  </si>
  <si>
    <t>Mobile</t>
  </si>
  <si>
    <t>Headphones</t>
  </si>
  <si>
    <t>Laptop</t>
  </si>
  <si>
    <t>Keyboard</t>
  </si>
  <si>
    <t>Tablet</t>
  </si>
  <si>
    <t>Roll No</t>
  </si>
  <si>
    <t>Marks</t>
  </si>
  <si>
    <t>Aman</t>
  </si>
  <si>
    <t>Bharti</t>
  </si>
  <si>
    <t>Deepa</t>
  </si>
  <si>
    <t>Farhan</t>
  </si>
  <si>
    <t>Mohan</t>
  </si>
  <si>
    <t>Gita</t>
  </si>
  <si>
    <t>Mirza</t>
  </si>
  <si>
    <t>Raj</t>
  </si>
  <si>
    <t>Rajvi</t>
  </si>
  <si>
    <t>Preeti</t>
  </si>
  <si>
    <t>Sunny</t>
  </si>
  <si>
    <t>Sanjay</t>
  </si>
  <si>
    <t>Deepak</t>
  </si>
  <si>
    <t>Dipti</t>
  </si>
  <si>
    <t>Kunal</t>
  </si>
  <si>
    <t>Kalyani</t>
  </si>
  <si>
    <t>Salary  Band - Conditional Formatting</t>
  </si>
  <si>
    <t>Employee Name</t>
  </si>
  <si>
    <t>Rohit</t>
  </si>
  <si>
    <t>Simran</t>
  </si>
  <si>
    <t>Vijay</t>
  </si>
  <si>
    <t>Nisha</t>
  </si>
  <si>
    <t>Ravi</t>
  </si>
  <si>
    <t>Prachi</t>
  </si>
  <si>
    <t>Lalit</t>
  </si>
  <si>
    <t>Lata</t>
  </si>
  <si>
    <t>Gyan</t>
  </si>
  <si>
    <t>Neha</t>
  </si>
  <si>
    <t>Vasu</t>
  </si>
  <si>
    <t>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</si>
</sst>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b/>
      <sz val="12"/>
      <color theme="1"/>
      <name val="Segoe UI"/>
      <family val="2"/>
    </font>
    <font>
      <sz val="8"/>
      <name val="Calibri"/>
      <family val="2"/>
      <scheme val="minor"/>
    </font>
    <font>
      <sz val="14"/>
      <color theme="1"/>
      <name val="Arial Black"/>
      <family val="2"/>
    </font>
    <font>
      <sz val="11"/>
      <color rgb="FF1F232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/>
      <right/>
      <top/>
      <bottom style="medium">
        <color rgb="FFD1D9E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32">
    <xf numFmtId="0" fontId="0" fillId="0" borderId="0" xfId="0"/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left" vertical="center" wrapText="1" indent="1"/>
    </xf>
    <xf numFmtId="14" fontId="4" fillId="3" borderId="3" xfId="0" applyNumberFormat="1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14" fontId="4" fillId="2" borderId="5" xfId="0" applyNumberFormat="1" applyFont="1" applyFill="1" applyBorder="1" applyAlignment="1">
      <alignment horizontal="left" vertical="center" wrapText="1" indent="1"/>
    </xf>
    <xf numFmtId="169" fontId="4" fillId="2" borderId="2" xfId="0" applyNumberFormat="1" applyFont="1" applyFill="1" applyBorder="1" applyAlignment="1">
      <alignment horizontal="left" vertical="center" wrapText="1" indent="1"/>
    </xf>
    <xf numFmtId="169" fontId="4" fillId="3" borderId="2" xfId="0" applyNumberFormat="1" applyFont="1" applyFill="1" applyBorder="1" applyAlignment="1">
      <alignment horizontal="left" vertical="center" wrapText="1" indent="1"/>
    </xf>
    <xf numFmtId="169" fontId="4" fillId="2" borderId="4" xfId="0" applyNumberFormat="1" applyFont="1" applyFill="1" applyBorder="1" applyAlignment="1">
      <alignment horizontal="left" vertical="center" wrapText="1" indent="1"/>
    </xf>
    <xf numFmtId="0" fontId="7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2" borderId="2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10" fontId="0" fillId="0" borderId="0" xfId="1" applyNumberFormat="1" applyFont="1"/>
    <xf numFmtId="0" fontId="2" fillId="0" borderId="1" xfId="2"/>
    <xf numFmtId="0" fontId="2" fillId="2" borderId="1" xfId="2" applyFill="1" applyAlignment="1">
      <alignment horizontal="center" vertical="center" wrapText="1"/>
    </xf>
    <xf numFmtId="0" fontId="2" fillId="2" borderId="1" xfId="2" applyFill="1" applyAlignment="1">
      <alignment horizontal="left" vertical="center" wrapText="1" indent="1"/>
    </xf>
    <xf numFmtId="14" fontId="2" fillId="2" borderId="1" xfId="2" applyNumberFormat="1" applyFill="1" applyAlignment="1">
      <alignment horizontal="center" vertical="top" wrapText="1"/>
    </xf>
    <xf numFmtId="0" fontId="2" fillId="3" borderId="1" xfId="2" applyFill="1" applyAlignment="1">
      <alignment horizontal="left" vertical="center" wrapText="1" indent="1"/>
    </xf>
    <xf numFmtId="14" fontId="2" fillId="3" borderId="1" xfId="2" applyNumberFormat="1" applyFill="1" applyAlignment="1">
      <alignment horizontal="center" vertical="top" wrapText="1"/>
    </xf>
    <xf numFmtId="14" fontId="2" fillId="0" borderId="1" xfId="2" applyNumberFormat="1" applyAlignment="1">
      <alignment horizontal="center" vertical="top"/>
    </xf>
    <xf numFmtId="0" fontId="2" fillId="0" borderId="1" xfId="2" applyAlignment="1">
      <alignment horizontal="left" vertical="center" wrapText="1"/>
    </xf>
    <xf numFmtId="0" fontId="2" fillId="0" borderId="1" xfId="2" applyAlignment="1">
      <alignment horizontal="left" vertical="center"/>
    </xf>
    <xf numFmtId="0" fontId="2" fillId="2" borderId="0" xfId="2" applyFill="1" applyBorder="1" applyAlignment="1">
      <alignment horizontal="left" vertical="center" wrapText="1" indent="1"/>
    </xf>
    <xf numFmtId="14" fontId="2" fillId="0" borderId="0" xfId="2" applyNumberFormat="1" applyFill="1" applyBorder="1" applyAlignment="1">
      <alignment horizontal="center" vertical="top"/>
    </xf>
    <xf numFmtId="0" fontId="2" fillId="0" borderId="0" xfId="2" applyFill="1" applyBorder="1" applyAlignment="1">
      <alignment horizontal="left" vertical="center"/>
    </xf>
    <xf numFmtId="0" fontId="8" fillId="0" borderId="0" xfId="0" applyFont="1"/>
  </cellXfs>
  <cellStyles count="3">
    <cellStyle name="Heading 2" xfId="2" builtinId="17"/>
    <cellStyle name="Normal" xfId="0" builtinId="0"/>
    <cellStyle name="Percent" xfId="1" builtinId="5"/>
  </cellStyles>
  <dxfs count="23"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center" vertical="top" textRotation="0" wrapText="0" indent="0" justifyLastLine="0" shrinkToFit="0" readingOrder="0"/>
    </dxf>
    <dxf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right style="medium">
          <color rgb="FFD1D9E0"/>
        </right>
        <bottom style="medium">
          <color rgb="FFD1D9E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39D2F51-B2CE-4794-BD2A-5A3CEED73A37}" name="Table6" displayName="Table6" ref="A2:E24" totalsRowShown="0" headerRowDxfId="15" dataDxfId="16" tableBorderDxfId="22">
  <autoFilter ref="A2:E24" xr:uid="{339D2F51-B2CE-4794-BD2A-5A3CEED73A37}"/>
  <tableColumns count="5">
    <tableColumn id="1" xr3:uid="{14DEB57B-3427-4C5F-B734-E9BEB2AD966D}" name="Employee ID" dataDxfId="21"/>
    <tableColumn id="2" xr3:uid="{62FD802E-D282-4898-AD61-3016D975637A}" name="Name" dataDxfId="20"/>
    <tableColumn id="3" xr3:uid="{351A9D04-C53D-41E5-A8FB-3E66EAC29843}" name="Department" dataDxfId="19"/>
    <tableColumn id="4" xr3:uid="{BCCFCFB2-5C72-4059-A102-C6AC0902D128}" name="Salary" dataDxfId="18"/>
    <tableColumn id="5" xr3:uid="{CE2A0571-EC28-4B78-AC16-EE1F5BDAF1D9}" name="Joining Date" dataDxfId="1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64C2122-2A92-4DDF-9E53-A4EFC65D05FF}" name="Table10" displayName="Table10" ref="A2:C26" totalsRowShown="0" headerRowDxfId="11" headerRowCellStyle="Heading 2" dataCellStyle="Heading 2">
  <autoFilter ref="A2:C26" xr:uid="{A64C2122-2A92-4DDF-9E53-A4EFC65D05FF}"/>
  <tableColumns count="3">
    <tableColumn id="1" xr3:uid="{07A1D7CC-1AB2-47EE-9C7F-EB166C168A24}" name="Invoice No" dataDxfId="14" dataCellStyle="Heading 2"/>
    <tableColumn id="2" xr3:uid="{6D5ED51D-B716-45B5-8C90-5AE48D745F41}" name="Date" dataDxfId="13" dataCellStyle="Heading 2"/>
    <tableColumn id="3" xr3:uid="{3D155910-829B-4D1B-8080-41DC1698D7F6}" name="Sales Amount" dataDxfId="12" dataCellStyle="Heading 2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6768A85-7875-4B26-B3D8-EB2C75CF7C15}" name="Table11" displayName="Table11" ref="A1:C25" totalsRowShown="0">
  <autoFilter ref="A1:C25" xr:uid="{D6768A85-7875-4B26-B3D8-EB2C75CF7C15}"/>
  <tableColumns count="3">
    <tableColumn id="1" xr3:uid="{8C94F694-7781-4F69-9FB5-A8021069036F}" name="Employee Name "/>
    <tableColumn id="2" xr3:uid="{731ACFB5-D4B9-4EAA-BE28-0C416314BA04}" name="Department"/>
    <tableColumn id="3" xr3:uid="{40794074-C036-4AEE-B280-221F78B63CB5}" name="Salary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EAF5-BEED-4BC4-813B-4406D3DEBB23}">
  <dimension ref="A1:E24"/>
  <sheetViews>
    <sheetView workbookViewId="0">
      <selection activeCell="F10" sqref="F10"/>
    </sheetView>
  </sheetViews>
  <sheetFormatPr defaultRowHeight="15" x14ac:dyDescent="0.25"/>
  <cols>
    <col min="1" max="1" width="17" customWidth="1"/>
    <col min="2" max="2" width="20.28515625" customWidth="1"/>
    <col min="3" max="3" width="16.42578125" customWidth="1"/>
    <col min="4" max="4" width="16.85546875" customWidth="1"/>
    <col min="5" max="5" width="21.28515625" customWidth="1"/>
  </cols>
  <sheetData>
    <row r="1" spans="1:5" ht="15.75" thickBot="1" x14ac:dyDescent="0.3"/>
    <row r="2" spans="1:5" ht="18" thickBot="1" x14ac:dyDescent="0.3">
      <c r="A2" s="5" t="s">
        <v>0</v>
      </c>
      <c r="B2" s="2" t="s">
        <v>1</v>
      </c>
      <c r="C2" s="2" t="s">
        <v>2</v>
      </c>
      <c r="D2" s="2" t="s">
        <v>3</v>
      </c>
      <c r="E2" s="6" t="s">
        <v>4</v>
      </c>
    </row>
    <row r="3" spans="1:5" ht="18" thickBot="1" x14ac:dyDescent="0.3">
      <c r="A3" s="3" t="s">
        <v>5</v>
      </c>
      <c r="B3" s="3" t="s">
        <v>6</v>
      </c>
      <c r="C3" s="3" t="s">
        <v>7</v>
      </c>
      <c r="D3" s="11">
        <v>32000</v>
      </c>
      <c r="E3" s="7">
        <v>44573</v>
      </c>
    </row>
    <row r="4" spans="1:5" ht="18" thickBot="1" x14ac:dyDescent="0.3">
      <c r="A4" s="3" t="s">
        <v>8</v>
      </c>
      <c r="B4" s="4" t="s">
        <v>9</v>
      </c>
      <c r="C4" s="4" t="s">
        <v>10</v>
      </c>
      <c r="D4" s="12">
        <v>45000</v>
      </c>
      <c r="E4" s="8">
        <v>44260</v>
      </c>
    </row>
    <row r="5" spans="1:5" ht="18" thickBot="1" x14ac:dyDescent="0.3">
      <c r="A5" s="3" t="s">
        <v>11</v>
      </c>
      <c r="B5" s="3" t="s">
        <v>12</v>
      </c>
      <c r="C5" s="3" t="s">
        <v>13</v>
      </c>
      <c r="D5" s="11">
        <v>38000</v>
      </c>
      <c r="E5" s="7">
        <v>44030</v>
      </c>
    </row>
    <row r="6" spans="1:5" ht="18" thickBot="1" x14ac:dyDescent="0.3">
      <c r="A6" s="3" t="s">
        <v>14</v>
      </c>
      <c r="B6" s="4" t="s">
        <v>15</v>
      </c>
      <c r="C6" s="4" t="s">
        <v>10</v>
      </c>
      <c r="D6" s="12">
        <v>52000</v>
      </c>
      <c r="E6" s="8">
        <v>43779</v>
      </c>
    </row>
    <row r="7" spans="1:5" ht="18" thickBot="1" x14ac:dyDescent="0.3">
      <c r="A7" s="3" t="s">
        <v>16</v>
      </c>
      <c r="B7" s="9" t="s">
        <v>17</v>
      </c>
      <c r="C7" s="9" t="s">
        <v>18</v>
      </c>
      <c r="D7" s="13">
        <v>30000</v>
      </c>
      <c r="E7" s="10">
        <v>45102</v>
      </c>
    </row>
    <row r="8" spans="1:5" ht="18" thickBot="1" x14ac:dyDescent="0.3">
      <c r="A8" s="3" t="s">
        <v>19</v>
      </c>
      <c r="B8" s="3" t="s">
        <v>6</v>
      </c>
      <c r="C8" s="3" t="s">
        <v>7</v>
      </c>
      <c r="D8" s="11">
        <v>40300</v>
      </c>
      <c r="E8" s="7">
        <v>44573</v>
      </c>
    </row>
    <row r="9" spans="1:5" ht="18" thickBot="1" x14ac:dyDescent="0.3">
      <c r="A9" s="3" t="s">
        <v>20</v>
      </c>
      <c r="B9" s="4" t="s">
        <v>9</v>
      </c>
      <c r="C9" s="4" t="s">
        <v>10</v>
      </c>
      <c r="D9" s="12">
        <v>40600</v>
      </c>
      <c r="E9" s="8">
        <v>44260</v>
      </c>
    </row>
    <row r="10" spans="1:5" ht="18" thickBot="1" x14ac:dyDescent="0.3">
      <c r="A10" s="3" t="s">
        <v>21</v>
      </c>
      <c r="B10" s="3" t="s">
        <v>12</v>
      </c>
      <c r="C10" s="3" t="s">
        <v>13</v>
      </c>
      <c r="D10" s="11">
        <v>40900</v>
      </c>
      <c r="E10" s="7">
        <v>44030</v>
      </c>
    </row>
    <row r="11" spans="1:5" ht="18" thickBot="1" x14ac:dyDescent="0.3">
      <c r="A11" s="3" t="s">
        <v>22</v>
      </c>
      <c r="B11" s="4" t="s">
        <v>15</v>
      </c>
      <c r="C11" s="4" t="s">
        <v>10</v>
      </c>
      <c r="D11" s="12">
        <v>41200</v>
      </c>
      <c r="E11" s="8">
        <v>43779</v>
      </c>
    </row>
    <row r="12" spans="1:5" ht="18" thickBot="1" x14ac:dyDescent="0.3">
      <c r="A12" s="3" t="s">
        <v>23</v>
      </c>
      <c r="B12" s="9" t="s">
        <v>17</v>
      </c>
      <c r="C12" s="9" t="s">
        <v>18</v>
      </c>
      <c r="D12" s="13">
        <v>41500</v>
      </c>
      <c r="E12" s="10">
        <v>45102</v>
      </c>
    </row>
    <row r="13" spans="1:5" ht="18" thickBot="1" x14ac:dyDescent="0.3">
      <c r="A13" s="3" t="s">
        <v>24</v>
      </c>
      <c r="B13" s="3" t="s">
        <v>6</v>
      </c>
      <c r="C13" s="3" t="s">
        <v>7</v>
      </c>
      <c r="D13" s="11">
        <v>41800</v>
      </c>
      <c r="E13" s="7">
        <v>44573</v>
      </c>
    </row>
    <row r="14" spans="1:5" ht="18" thickBot="1" x14ac:dyDescent="0.3">
      <c r="A14" s="3" t="s">
        <v>25</v>
      </c>
      <c r="B14" s="4" t="s">
        <v>9</v>
      </c>
      <c r="C14" s="4" t="s">
        <v>10</v>
      </c>
      <c r="D14" s="12">
        <v>42100</v>
      </c>
      <c r="E14" s="8">
        <v>44260</v>
      </c>
    </row>
    <row r="15" spans="1:5" ht="18" thickBot="1" x14ac:dyDescent="0.3">
      <c r="A15" s="3" t="s">
        <v>26</v>
      </c>
      <c r="B15" s="3" t="s">
        <v>12</v>
      </c>
      <c r="C15" s="3" t="s">
        <v>13</v>
      </c>
      <c r="D15" s="11">
        <v>42400</v>
      </c>
      <c r="E15" s="7">
        <v>44030</v>
      </c>
    </row>
    <row r="16" spans="1:5" ht="18" thickBot="1" x14ac:dyDescent="0.3">
      <c r="A16" s="3" t="s">
        <v>27</v>
      </c>
      <c r="B16" s="4" t="s">
        <v>15</v>
      </c>
      <c r="C16" s="4" t="s">
        <v>10</v>
      </c>
      <c r="D16" s="12">
        <v>42700</v>
      </c>
      <c r="E16" s="8">
        <v>43779</v>
      </c>
    </row>
    <row r="17" spans="1:5" ht="18" thickBot="1" x14ac:dyDescent="0.3">
      <c r="A17" s="3" t="s">
        <v>28</v>
      </c>
      <c r="B17" s="9" t="s">
        <v>17</v>
      </c>
      <c r="C17" s="9" t="s">
        <v>18</v>
      </c>
      <c r="D17" s="13">
        <v>43000</v>
      </c>
      <c r="E17" s="10">
        <v>45102</v>
      </c>
    </row>
    <row r="18" spans="1:5" ht="18" thickBot="1" x14ac:dyDescent="0.3">
      <c r="A18" s="3" t="s">
        <v>29</v>
      </c>
      <c r="B18" s="3" t="s">
        <v>6</v>
      </c>
      <c r="C18" s="3" t="s">
        <v>7</v>
      </c>
      <c r="D18" s="11">
        <v>43300</v>
      </c>
      <c r="E18" s="7">
        <v>44573</v>
      </c>
    </row>
    <row r="19" spans="1:5" ht="18" thickBot="1" x14ac:dyDescent="0.3">
      <c r="A19" s="3" t="s">
        <v>30</v>
      </c>
      <c r="B19" s="4" t="s">
        <v>9</v>
      </c>
      <c r="C19" s="4" t="s">
        <v>10</v>
      </c>
      <c r="D19" s="12">
        <v>43600</v>
      </c>
      <c r="E19" s="8">
        <v>44260</v>
      </c>
    </row>
    <row r="20" spans="1:5" ht="18" thickBot="1" x14ac:dyDescent="0.3">
      <c r="A20" s="3" t="s">
        <v>31</v>
      </c>
      <c r="B20" s="3" t="s">
        <v>12</v>
      </c>
      <c r="C20" s="3" t="s">
        <v>13</v>
      </c>
      <c r="D20" s="11">
        <v>43900</v>
      </c>
      <c r="E20" s="7">
        <v>44030</v>
      </c>
    </row>
    <row r="21" spans="1:5" ht="18" thickBot="1" x14ac:dyDescent="0.3">
      <c r="A21" s="3" t="s">
        <v>32</v>
      </c>
      <c r="B21" s="4" t="s">
        <v>15</v>
      </c>
      <c r="C21" s="4" t="s">
        <v>10</v>
      </c>
      <c r="D21" s="12">
        <v>44200</v>
      </c>
      <c r="E21" s="8">
        <v>43779</v>
      </c>
    </row>
    <row r="22" spans="1:5" ht="18" thickBot="1" x14ac:dyDescent="0.3">
      <c r="A22" s="3" t="s">
        <v>33</v>
      </c>
      <c r="B22" s="9" t="s">
        <v>17</v>
      </c>
      <c r="C22" s="9" t="s">
        <v>18</v>
      </c>
      <c r="D22" s="13">
        <v>44500</v>
      </c>
      <c r="E22" s="10">
        <v>45102</v>
      </c>
    </row>
    <row r="23" spans="1:5" ht="18" thickBot="1" x14ac:dyDescent="0.3">
      <c r="A23" s="3"/>
      <c r="B23" s="3"/>
      <c r="C23" s="3"/>
      <c r="D23" s="3"/>
      <c r="E23" s="7"/>
    </row>
    <row r="24" spans="1:5" ht="18" thickBot="1" x14ac:dyDescent="0.3">
      <c r="A24" s="3"/>
      <c r="B24" s="4"/>
      <c r="C24" s="3"/>
      <c r="D24" s="3"/>
      <c r="E24" s="7"/>
    </row>
  </sheetData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2B30-57A1-4495-9F4B-733FBAACC932}">
  <dimension ref="A1:D20"/>
  <sheetViews>
    <sheetView topLeftCell="A5" workbookViewId="0">
      <selection activeCell="K16" sqref="K16"/>
    </sheetView>
  </sheetViews>
  <sheetFormatPr defaultRowHeight="15" x14ac:dyDescent="0.25"/>
  <cols>
    <col min="1" max="1" width="18.5703125" customWidth="1"/>
    <col min="2" max="3" width="15.7109375" customWidth="1"/>
    <col min="4" max="4" width="16.28515625" customWidth="1"/>
  </cols>
  <sheetData>
    <row r="1" spans="1:4" ht="23.25" thickBot="1" x14ac:dyDescent="0.5">
      <c r="A1" s="14" t="s">
        <v>50</v>
      </c>
      <c r="B1" s="15"/>
      <c r="C1" s="15"/>
      <c r="D1" s="15"/>
    </row>
    <row r="2" spans="1:4" ht="35.25" thickBot="1" x14ac:dyDescent="0.3">
      <c r="A2" s="2" t="s">
        <v>34</v>
      </c>
      <c r="B2" s="2" t="s">
        <v>35</v>
      </c>
      <c r="C2" s="2" t="s">
        <v>36</v>
      </c>
      <c r="D2" s="2" t="s">
        <v>37</v>
      </c>
    </row>
    <row r="3" spans="1:4" ht="18" thickBot="1" x14ac:dyDescent="0.3">
      <c r="A3" s="16" t="s">
        <v>38</v>
      </c>
      <c r="B3" s="3" t="s">
        <v>39</v>
      </c>
      <c r="C3" s="11">
        <v>45000</v>
      </c>
      <c r="D3" s="3" t="s">
        <v>40</v>
      </c>
    </row>
    <row r="4" spans="1:4" ht="18" thickBot="1" x14ac:dyDescent="0.3">
      <c r="A4" s="17" t="s">
        <v>41</v>
      </c>
      <c r="B4" s="4" t="s">
        <v>42</v>
      </c>
      <c r="C4" s="12">
        <v>1200</v>
      </c>
      <c r="D4" s="4" t="s">
        <v>43</v>
      </c>
    </row>
    <row r="5" spans="1:4" ht="18" thickBot="1" x14ac:dyDescent="0.3">
      <c r="A5" s="16" t="s">
        <v>44</v>
      </c>
      <c r="B5" s="3" t="s">
        <v>45</v>
      </c>
      <c r="C5" s="11">
        <v>18000</v>
      </c>
      <c r="D5" s="3" t="s">
        <v>46</v>
      </c>
    </row>
    <row r="6" spans="1:4" ht="18" thickBot="1" x14ac:dyDescent="0.3">
      <c r="A6" s="17" t="s">
        <v>47</v>
      </c>
      <c r="B6" s="4" t="s">
        <v>48</v>
      </c>
      <c r="C6" s="12">
        <v>62000</v>
      </c>
      <c r="D6" s="4" t="s">
        <v>49</v>
      </c>
    </row>
    <row r="7" spans="1:4" ht="18" thickBot="1" x14ac:dyDescent="0.3">
      <c r="A7" s="16" t="s">
        <v>51</v>
      </c>
      <c r="B7" s="3" t="s">
        <v>39</v>
      </c>
      <c r="C7" s="11">
        <v>48500</v>
      </c>
      <c r="D7" s="3" t="s">
        <v>40</v>
      </c>
    </row>
    <row r="8" spans="1:4" ht="18" thickBot="1" x14ac:dyDescent="0.3">
      <c r="A8" s="17" t="s">
        <v>41</v>
      </c>
      <c r="B8" s="4" t="s">
        <v>42</v>
      </c>
      <c r="C8" s="12">
        <v>55280</v>
      </c>
      <c r="D8" s="4" t="s">
        <v>43</v>
      </c>
    </row>
    <row r="9" spans="1:4" ht="18" thickBot="1" x14ac:dyDescent="0.3">
      <c r="A9" s="16" t="s">
        <v>44</v>
      </c>
      <c r="B9" s="3" t="s">
        <v>45</v>
      </c>
      <c r="C9" s="11">
        <v>62060</v>
      </c>
      <c r="D9" s="3" t="s">
        <v>46</v>
      </c>
    </row>
    <row r="10" spans="1:4" ht="18" thickBot="1" x14ac:dyDescent="0.3">
      <c r="A10" s="17" t="s">
        <v>47</v>
      </c>
      <c r="B10" s="4" t="s">
        <v>48</v>
      </c>
      <c r="C10" s="12">
        <v>68840</v>
      </c>
      <c r="D10" s="4" t="s">
        <v>49</v>
      </c>
    </row>
    <row r="11" spans="1:4" ht="18" thickBot="1" x14ac:dyDescent="0.3">
      <c r="A11" s="16" t="s">
        <v>52</v>
      </c>
      <c r="B11" s="3" t="s">
        <v>39</v>
      </c>
      <c r="C11" s="11">
        <v>75620</v>
      </c>
      <c r="D11" s="3" t="s">
        <v>40</v>
      </c>
    </row>
    <row r="12" spans="1:4" ht="18" thickBot="1" x14ac:dyDescent="0.3">
      <c r="A12" s="17" t="s">
        <v>41</v>
      </c>
      <c r="B12" s="4" t="s">
        <v>42</v>
      </c>
      <c r="C12" s="12">
        <v>82400</v>
      </c>
      <c r="D12" s="4" t="s">
        <v>43</v>
      </c>
    </row>
    <row r="13" spans="1:4" ht="18" thickBot="1" x14ac:dyDescent="0.3">
      <c r="A13" s="16" t="s">
        <v>44</v>
      </c>
      <c r="B13" s="3" t="s">
        <v>45</v>
      </c>
      <c r="C13" s="11">
        <v>89180</v>
      </c>
      <c r="D13" s="3" t="s">
        <v>46</v>
      </c>
    </row>
    <row r="14" spans="1:4" ht="18" thickBot="1" x14ac:dyDescent="0.3">
      <c r="A14" s="17" t="s">
        <v>47</v>
      </c>
      <c r="B14" s="4" t="s">
        <v>48</v>
      </c>
      <c r="C14" s="12">
        <v>95960</v>
      </c>
      <c r="D14" s="4" t="s">
        <v>49</v>
      </c>
    </row>
    <row r="15" spans="1:4" ht="18" thickBot="1" x14ac:dyDescent="0.3">
      <c r="A15" s="16" t="s">
        <v>53</v>
      </c>
      <c r="B15" s="3" t="s">
        <v>39</v>
      </c>
      <c r="C15" s="11">
        <v>102740</v>
      </c>
      <c r="D15" s="3" t="s">
        <v>40</v>
      </c>
    </row>
    <row r="16" spans="1:4" ht="18" thickBot="1" x14ac:dyDescent="0.3">
      <c r="A16" s="17" t="s">
        <v>41</v>
      </c>
      <c r="B16" s="4" t="s">
        <v>42</v>
      </c>
      <c r="C16" s="12">
        <v>109520</v>
      </c>
      <c r="D16" s="4" t="s">
        <v>43</v>
      </c>
    </row>
    <row r="17" spans="1:4" ht="18" thickBot="1" x14ac:dyDescent="0.3">
      <c r="A17" s="16" t="s">
        <v>44</v>
      </c>
      <c r="B17" s="3" t="s">
        <v>45</v>
      </c>
      <c r="C17" s="11">
        <v>116300</v>
      </c>
      <c r="D17" s="3" t="s">
        <v>46</v>
      </c>
    </row>
    <row r="18" spans="1:4" ht="18" thickBot="1" x14ac:dyDescent="0.3">
      <c r="A18" s="17" t="s">
        <v>47</v>
      </c>
      <c r="B18" s="4" t="s">
        <v>48</v>
      </c>
      <c r="C18" s="12">
        <v>123080</v>
      </c>
      <c r="D18" s="4" t="s">
        <v>49</v>
      </c>
    </row>
    <row r="19" spans="1:4" ht="18" thickBot="1" x14ac:dyDescent="0.3">
      <c r="A19" s="16" t="s">
        <v>54</v>
      </c>
      <c r="B19" s="3" t="s">
        <v>39</v>
      </c>
      <c r="C19" s="11">
        <v>129860</v>
      </c>
      <c r="D19" s="3" t="s">
        <v>40</v>
      </c>
    </row>
    <row r="20" spans="1:4" ht="18" thickBot="1" x14ac:dyDescent="0.3">
      <c r="A20" s="17" t="s">
        <v>41</v>
      </c>
      <c r="B20" s="4" t="s">
        <v>42</v>
      </c>
      <c r="C20" s="12">
        <v>136640</v>
      </c>
      <c r="D20" s="4" t="s">
        <v>43</v>
      </c>
    </row>
  </sheetData>
  <mergeCells count="1">
    <mergeCell ref="A1:D1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A245-03AA-418A-980F-65D2C1B48625}">
  <dimension ref="A1:F6"/>
  <sheetViews>
    <sheetView workbookViewId="0">
      <selection activeCell="B11" sqref="B11"/>
    </sheetView>
  </sheetViews>
  <sheetFormatPr defaultRowHeight="15" x14ac:dyDescent="0.25"/>
  <cols>
    <col min="6" max="6" width="11.28515625" customWidth="1"/>
  </cols>
  <sheetData>
    <row r="1" spans="1:6" ht="18" thickBot="1" x14ac:dyDescent="0.35">
      <c r="A1" s="19" t="s">
        <v>55</v>
      </c>
      <c r="B1" s="19" t="s">
        <v>1</v>
      </c>
      <c r="C1" s="19" t="s">
        <v>56</v>
      </c>
      <c r="D1" s="19" t="s">
        <v>57</v>
      </c>
      <c r="E1" s="19" t="s">
        <v>58</v>
      </c>
      <c r="F1" s="19" t="s">
        <v>59</v>
      </c>
    </row>
    <row r="2" spans="1:6" ht="15.75" thickTop="1" x14ac:dyDescent="0.25">
      <c r="A2">
        <v>1</v>
      </c>
      <c r="B2" t="s">
        <v>60</v>
      </c>
      <c r="C2">
        <v>25</v>
      </c>
      <c r="D2">
        <v>45</v>
      </c>
      <c r="E2">
        <v>25</v>
      </c>
      <c r="F2" s="18">
        <f>AVERAGE(C2,D2,E2)</f>
        <v>31.666666666666668</v>
      </c>
    </row>
    <row r="3" spans="1:6" x14ac:dyDescent="0.25">
      <c r="A3">
        <v>2</v>
      </c>
      <c r="B3" t="s">
        <v>61</v>
      </c>
      <c r="C3">
        <v>42</v>
      </c>
      <c r="D3">
        <v>56</v>
      </c>
      <c r="E3">
        <v>86</v>
      </c>
      <c r="F3" s="18">
        <f t="shared" ref="F3:F6" si="0">AVERAGE(C3,D3,E3)</f>
        <v>61.333333333333336</v>
      </c>
    </row>
    <row r="4" spans="1:6" x14ac:dyDescent="0.25">
      <c r="A4">
        <v>3</v>
      </c>
      <c r="B4" t="s">
        <v>62</v>
      </c>
      <c r="C4">
        <v>66</v>
      </c>
      <c r="D4">
        <v>78</v>
      </c>
      <c r="E4">
        <v>64</v>
      </c>
      <c r="F4" s="18">
        <f t="shared" si="0"/>
        <v>69.333333333333329</v>
      </c>
    </row>
    <row r="5" spans="1:6" x14ac:dyDescent="0.25">
      <c r="A5">
        <v>4</v>
      </c>
      <c r="B5" t="s">
        <v>63</v>
      </c>
      <c r="C5">
        <v>38</v>
      </c>
      <c r="D5">
        <v>35</v>
      </c>
      <c r="E5">
        <v>55</v>
      </c>
      <c r="F5" s="18">
        <f t="shared" si="0"/>
        <v>42.666666666666664</v>
      </c>
    </row>
    <row r="6" spans="1:6" x14ac:dyDescent="0.25">
      <c r="A6">
        <v>5</v>
      </c>
      <c r="B6" t="s">
        <v>64</v>
      </c>
      <c r="C6">
        <v>18</v>
      </c>
      <c r="D6">
        <v>46</v>
      </c>
      <c r="E6">
        <v>33</v>
      </c>
      <c r="F6" s="18">
        <f t="shared" si="0"/>
        <v>32.333333333333336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CF616-A7F6-4A4F-B7D2-AD73FAE88E74}">
  <dimension ref="A2:C26"/>
  <sheetViews>
    <sheetView topLeftCell="A13" workbookViewId="0">
      <selection activeCell="D21" sqref="D21"/>
    </sheetView>
  </sheetViews>
  <sheetFormatPr defaultRowHeight="15" x14ac:dyDescent="0.25"/>
  <cols>
    <col min="1" max="2" width="19.42578125" customWidth="1"/>
    <col min="3" max="3" width="18.5703125" customWidth="1"/>
  </cols>
  <sheetData>
    <row r="2" spans="1:3" ht="18" thickBot="1" x14ac:dyDescent="0.3">
      <c r="A2" s="20" t="s">
        <v>65</v>
      </c>
      <c r="B2" s="20" t="s">
        <v>66</v>
      </c>
      <c r="C2" s="20" t="s">
        <v>36</v>
      </c>
    </row>
    <row r="3" spans="1:3" ht="18.75" thickTop="1" thickBot="1" x14ac:dyDescent="0.3">
      <c r="A3" s="21" t="s">
        <v>67</v>
      </c>
      <c r="B3" s="22">
        <v>45292</v>
      </c>
      <c r="C3" s="21">
        <v>12000</v>
      </c>
    </row>
    <row r="4" spans="1:3" ht="18.75" thickTop="1" thickBot="1" x14ac:dyDescent="0.3">
      <c r="A4" s="23" t="s">
        <v>68</v>
      </c>
      <c r="B4" s="24">
        <v>45294</v>
      </c>
      <c r="C4" s="23">
        <v>25000</v>
      </c>
    </row>
    <row r="5" spans="1:3" ht="18.75" thickTop="1" thickBot="1" x14ac:dyDescent="0.3">
      <c r="A5" s="21" t="s">
        <v>69</v>
      </c>
      <c r="B5" s="22">
        <v>45296</v>
      </c>
      <c r="C5" s="21">
        <v>8000</v>
      </c>
    </row>
    <row r="6" spans="1:3" ht="18.75" thickTop="1" thickBot="1" x14ac:dyDescent="0.3">
      <c r="A6" s="23" t="s">
        <v>70</v>
      </c>
      <c r="B6" s="24">
        <v>45299</v>
      </c>
      <c r="C6" s="23">
        <v>32000</v>
      </c>
    </row>
    <row r="7" spans="1:3" ht="18.75" thickTop="1" thickBot="1" x14ac:dyDescent="0.3">
      <c r="A7" s="21" t="s">
        <v>71</v>
      </c>
      <c r="B7" s="22">
        <v>45301</v>
      </c>
      <c r="C7" s="21">
        <v>15000</v>
      </c>
    </row>
    <row r="8" spans="1:3" ht="18.75" thickTop="1" thickBot="1" x14ac:dyDescent="0.3">
      <c r="A8" s="21" t="s">
        <v>72</v>
      </c>
      <c r="B8" s="25">
        <v>45300</v>
      </c>
      <c r="C8" s="23">
        <v>30000</v>
      </c>
    </row>
    <row r="9" spans="1:3" ht="18.75" thickTop="1" thickBot="1" x14ac:dyDescent="0.3">
      <c r="A9" s="23" t="s">
        <v>73</v>
      </c>
      <c r="B9" s="25">
        <v>45298</v>
      </c>
      <c r="C9" s="26">
        <v>40000</v>
      </c>
    </row>
    <row r="10" spans="1:3" ht="18.75" thickTop="1" thickBot="1" x14ac:dyDescent="0.3">
      <c r="A10" s="21" t="s">
        <v>74</v>
      </c>
      <c r="B10" s="25">
        <v>45295</v>
      </c>
      <c r="C10" s="27">
        <v>33000</v>
      </c>
    </row>
    <row r="11" spans="1:3" ht="18.75" thickTop="1" thickBot="1" x14ac:dyDescent="0.3">
      <c r="A11" s="23" t="s">
        <v>75</v>
      </c>
      <c r="B11" s="25">
        <v>45297</v>
      </c>
      <c r="C11" s="27">
        <v>23000</v>
      </c>
    </row>
    <row r="12" spans="1:3" ht="18.75" thickTop="1" thickBot="1" x14ac:dyDescent="0.3">
      <c r="A12" s="21" t="s">
        <v>76</v>
      </c>
      <c r="B12" s="25">
        <v>45306</v>
      </c>
      <c r="C12" s="27">
        <v>37000</v>
      </c>
    </row>
    <row r="13" spans="1:3" ht="18.75" thickTop="1" thickBot="1" x14ac:dyDescent="0.3">
      <c r="A13" s="21" t="s">
        <v>77</v>
      </c>
      <c r="B13" s="25">
        <v>45303</v>
      </c>
      <c r="C13" s="27">
        <v>25000</v>
      </c>
    </row>
    <row r="14" spans="1:3" ht="18.75" thickTop="1" thickBot="1" x14ac:dyDescent="0.3">
      <c r="A14" s="23" t="s">
        <v>78</v>
      </c>
      <c r="B14" s="25">
        <v>45302</v>
      </c>
      <c r="C14" s="27">
        <v>38000</v>
      </c>
    </row>
    <row r="15" spans="1:3" ht="18.75" thickTop="1" thickBot="1" x14ac:dyDescent="0.3">
      <c r="A15" s="21" t="s">
        <v>79</v>
      </c>
      <c r="B15" s="25">
        <v>45308</v>
      </c>
      <c r="C15" s="27">
        <v>31000</v>
      </c>
    </row>
    <row r="16" spans="1:3" ht="18.75" thickTop="1" thickBot="1" x14ac:dyDescent="0.3">
      <c r="A16" s="23" t="s">
        <v>80</v>
      </c>
      <c r="B16" s="25">
        <v>45304</v>
      </c>
      <c r="C16" s="27">
        <v>23000</v>
      </c>
    </row>
    <row r="17" spans="1:3" ht="18.75" thickTop="1" thickBot="1" x14ac:dyDescent="0.3">
      <c r="A17" s="21" t="s">
        <v>81</v>
      </c>
      <c r="B17" s="25">
        <v>45307</v>
      </c>
      <c r="C17" s="27">
        <v>26000</v>
      </c>
    </row>
    <row r="18" spans="1:3" ht="18.75" thickTop="1" thickBot="1" x14ac:dyDescent="0.3">
      <c r="A18" s="21" t="s">
        <v>82</v>
      </c>
      <c r="B18" s="25">
        <v>45305</v>
      </c>
      <c r="C18" s="27">
        <v>34000</v>
      </c>
    </row>
    <row r="19" spans="1:3" ht="18.75" thickTop="1" thickBot="1" x14ac:dyDescent="0.3">
      <c r="A19" s="23" t="s">
        <v>83</v>
      </c>
      <c r="B19" s="25">
        <v>45309</v>
      </c>
      <c r="C19" s="27">
        <v>28000</v>
      </c>
    </row>
    <row r="20" spans="1:3" ht="18.75" thickTop="1" thickBot="1" x14ac:dyDescent="0.3">
      <c r="A20" s="21" t="s">
        <v>84</v>
      </c>
      <c r="B20" s="25">
        <v>45310</v>
      </c>
      <c r="C20" s="27">
        <v>32000</v>
      </c>
    </row>
    <row r="21" spans="1:3" ht="18.75" thickTop="1" thickBot="1" x14ac:dyDescent="0.3">
      <c r="A21" s="23" t="s">
        <v>85</v>
      </c>
      <c r="B21" s="25">
        <v>45296</v>
      </c>
      <c r="C21" s="27">
        <v>37000</v>
      </c>
    </row>
    <row r="22" spans="1:3" ht="18.75" thickTop="1" thickBot="1" x14ac:dyDescent="0.3">
      <c r="A22" s="21" t="s">
        <v>86</v>
      </c>
      <c r="B22" s="25">
        <v>45297</v>
      </c>
      <c r="C22" s="27">
        <v>12000</v>
      </c>
    </row>
    <row r="23" spans="1:3" ht="18.75" thickTop="1" thickBot="1" x14ac:dyDescent="0.3">
      <c r="A23" s="21" t="s">
        <v>87</v>
      </c>
      <c r="B23" s="25"/>
      <c r="C23" s="27">
        <f>SUM(C3:C22)</f>
        <v>541000</v>
      </c>
    </row>
    <row r="24" spans="1:3" ht="18" thickTop="1" x14ac:dyDescent="0.25">
      <c r="A24" s="28" t="s">
        <v>88</v>
      </c>
      <c r="B24" s="29"/>
      <c r="C24" s="30">
        <f>AVERAGE(C3:C22)</f>
        <v>27050</v>
      </c>
    </row>
    <row r="25" spans="1:3" ht="17.25" x14ac:dyDescent="0.25">
      <c r="A25" s="28" t="s">
        <v>89</v>
      </c>
      <c r="B25" s="29"/>
      <c r="C25" s="30">
        <f>MAX(C3:C22)</f>
        <v>40000</v>
      </c>
    </row>
    <row r="26" spans="1:3" ht="17.25" x14ac:dyDescent="0.25">
      <c r="A26" s="28" t="s">
        <v>90</v>
      </c>
      <c r="B26" s="29"/>
      <c r="C26" s="30">
        <f>MIN(C3:C22)</f>
        <v>8000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2C36-5E8D-4427-8374-1BEFA5555C39}">
  <dimension ref="A1:C25"/>
  <sheetViews>
    <sheetView workbookViewId="0">
      <selection activeCell="F13" sqref="F13"/>
    </sheetView>
  </sheetViews>
  <sheetFormatPr defaultRowHeight="15" x14ac:dyDescent="0.25"/>
  <cols>
    <col min="1" max="1" width="18.140625" customWidth="1"/>
    <col min="2" max="2" width="13.85546875" customWidth="1"/>
  </cols>
  <sheetData>
    <row r="1" spans="1:3" x14ac:dyDescent="0.25">
      <c r="A1" t="s">
        <v>91</v>
      </c>
      <c r="B1" t="s">
        <v>2</v>
      </c>
      <c r="C1" t="s">
        <v>3</v>
      </c>
    </row>
    <row r="2" spans="1:3" x14ac:dyDescent="0.25">
      <c r="A2" t="s">
        <v>92</v>
      </c>
      <c r="B2" t="s">
        <v>7</v>
      </c>
      <c r="C2">
        <v>28000</v>
      </c>
    </row>
    <row r="3" spans="1:3" x14ac:dyDescent="0.25">
      <c r="A3" t="s">
        <v>40</v>
      </c>
      <c r="B3" t="s">
        <v>10</v>
      </c>
      <c r="C3">
        <v>33000</v>
      </c>
    </row>
    <row r="4" spans="1:3" x14ac:dyDescent="0.25">
      <c r="A4" t="s">
        <v>93</v>
      </c>
      <c r="B4" t="s">
        <v>10</v>
      </c>
      <c r="C4">
        <v>45000</v>
      </c>
    </row>
    <row r="5" spans="1:3" x14ac:dyDescent="0.25">
      <c r="A5" t="s">
        <v>94</v>
      </c>
      <c r="B5" t="s">
        <v>13</v>
      </c>
      <c r="C5">
        <v>56000</v>
      </c>
    </row>
    <row r="6" spans="1:3" x14ac:dyDescent="0.25">
      <c r="A6" t="s">
        <v>95</v>
      </c>
      <c r="B6" t="s">
        <v>7</v>
      </c>
      <c r="C6">
        <v>44000</v>
      </c>
    </row>
    <row r="7" spans="1:3" x14ac:dyDescent="0.25">
      <c r="A7" t="s">
        <v>96</v>
      </c>
      <c r="B7" t="s">
        <v>13</v>
      </c>
      <c r="C7">
        <v>54000</v>
      </c>
    </row>
    <row r="8" spans="1:3" x14ac:dyDescent="0.25">
      <c r="A8" t="s">
        <v>97</v>
      </c>
      <c r="B8" t="s">
        <v>7</v>
      </c>
      <c r="C8">
        <v>38000</v>
      </c>
    </row>
    <row r="9" spans="1:3" x14ac:dyDescent="0.25">
      <c r="A9" t="s">
        <v>98</v>
      </c>
      <c r="B9" t="s">
        <v>10</v>
      </c>
      <c r="C9">
        <v>51000</v>
      </c>
    </row>
    <row r="10" spans="1:3" x14ac:dyDescent="0.25">
      <c r="A10" t="s">
        <v>99</v>
      </c>
      <c r="B10" t="s">
        <v>10</v>
      </c>
      <c r="C10">
        <v>35000</v>
      </c>
    </row>
    <row r="11" spans="1:3" x14ac:dyDescent="0.25">
      <c r="A11" t="s">
        <v>101</v>
      </c>
      <c r="B11" t="s">
        <v>13</v>
      </c>
      <c r="C11">
        <v>52000</v>
      </c>
    </row>
    <row r="12" spans="1:3" x14ac:dyDescent="0.25">
      <c r="A12" t="s">
        <v>102</v>
      </c>
      <c r="B12" t="s">
        <v>7</v>
      </c>
      <c r="C12">
        <v>34000</v>
      </c>
    </row>
    <row r="13" spans="1:3" x14ac:dyDescent="0.25">
      <c r="A13" t="s">
        <v>103</v>
      </c>
      <c r="B13" t="s">
        <v>13</v>
      </c>
      <c r="C13">
        <v>25000</v>
      </c>
    </row>
    <row r="14" spans="1:3" x14ac:dyDescent="0.25">
      <c r="A14" t="s">
        <v>104</v>
      </c>
      <c r="B14" t="s">
        <v>7</v>
      </c>
      <c r="C14">
        <v>31000</v>
      </c>
    </row>
    <row r="15" spans="1:3" x14ac:dyDescent="0.25">
      <c r="A15" t="s">
        <v>105</v>
      </c>
      <c r="B15" t="s">
        <v>10</v>
      </c>
      <c r="C15">
        <v>32000</v>
      </c>
    </row>
    <row r="16" spans="1:3" x14ac:dyDescent="0.25">
      <c r="A16" t="s">
        <v>106</v>
      </c>
      <c r="B16" t="s">
        <v>10</v>
      </c>
      <c r="C16">
        <v>39000</v>
      </c>
    </row>
    <row r="17" spans="1:3" x14ac:dyDescent="0.25">
      <c r="A17" t="s">
        <v>107</v>
      </c>
      <c r="B17" t="s">
        <v>13</v>
      </c>
      <c r="C17">
        <v>52000</v>
      </c>
    </row>
    <row r="18" spans="1:3" x14ac:dyDescent="0.25">
      <c r="A18" t="s">
        <v>108</v>
      </c>
      <c r="B18" t="s">
        <v>7</v>
      </c>
      <c r="C18">
        <v>42000</v>
      </c>
    </row>
    <row r="19" spans="1:3" x14ac:dyDescent="0.25">
      <c r="A19" t="s">
        <v>109</v>
      </c>
      <c r="B19" t="s">
        <v>13</v>
      </c>
      <c r="C19">
        <v>36000</v>
      </c>
    </row>
    <row r="20" spans="1:3" x14ac:dyDescent="0.25">
      <c r="A20" t="s">
        <v>110</v>
      </c>
      <c r="B20" t="s">
        <v>7</v>
      </c>
      <c r="C20">
        <v>28000</v>
      </c>
    </row>
    <row r="21" spans="1:3" x14ac:dyDescent="0.25">
      <c r="A21" t="s">
        <v>111</v>
      </c>
      <c r="C21">
        <f>SUM(C2,C6,C8,C12,C14,C18,C20)</f>
        <v>245000</v>
      </c>
    </row>
    <row r="22" spans="1:3" x14ac:dyDescent="0.25">
      <c r="A22" t="s">
        <v>112</v>
      </c>
      <c r="C22">
        <f>SUM(C3,C4,C9,C10,C15,C16)</f>
        <v>235000</v>
      </c>
    </row>
    <row r="23" spans="1:3" x14ac:dyDescent="0.25">
      <c r="A23" t="s">
        <v>113</v>
      </c>
      <c r="C23">
        <f>SUM(C5,C7,C11,C13,C17,C19)</f>
        <v>275000</v>
      </c>
    </row>
    <row r="24" spans="1:3" x14ac:dyDescent="0.25">
      <c r="A24" t="s">
        <v>114</v>
      </c>
      <c r="C24">
        <f>AVERAGE(C2:C20)</f>
        <v>39736.84210526316</v>
      </c>
    </row>
    <row r="25" spans="1:3" x14ac:dyDescent="0.25">
      <c r="A25" t="s">
        <v>115</v>
      </c>
      <c r="C25">
        <f>COUNTA(A2:A20)</f>
        <v>19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7F29-C6AF-418D-84CC-B0F6EE36E1E0}">
  <dimension ref="A1:H20"/>
  <sheetViews>
    <sheetView topLeftCell="A6" workbookViewId="0">
      <selection activeCell="I8" sqref="I8"/>
    </sheetView>
  </sheetViews>
  <sheetFormatPr defaultRowHeight="15" x14ac:dyDescent="0.25"/>
  <cols>
    <col min="1" max="1" width="13" customWidth="1"/>
    <col min="2" max="2" width="10.5703125" customWidth="1"/>
    <col min="7" max="7" width="10.140625" customWidth="1"/>
  </cols>
  <sheetData>
    <row r="1" spans="1:8" ht="35.25" thickBot="1" x14ac:dyDescent="0.3">
      <c r="A1" s="2" t="s">
        <v>116</v>
      </c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141</v>
      </c>
      <c r="H1" s="2" t="s">
        <v>142</v>
      </c>
    </row>
    <row r="2" spans="1:8" ht="18" thickBot="1" x14ac:dyDescent="0.3">
      <c r="A2" s="3" t="s">
        <v>122</v>
      </c>
      <c r="B2" s="3" t="s">
        <v>123</v>
      </c>
      <c r="C2" s="3" t="s">
        <v>100</v>
      </c>
      <c r="D2" s="3" t="s">
        <v>123</v>
      </c>
      <c r="E2" s="3" t="s">
        <v>123</v>
      </c>
      <c r="F2" s="3" t="s">
        <v>123</v>
      </c>
      <c r="G2">
        <f>COUNTIF(B2:F2,"P")</f>
        <v>4</v>
      </c>
      <c r="H2">
        <f>COUNTIF(B2:F2,"A")</f>
        <v>1</v>
      </c>
    </row>
    <row r="3" spans="1:8" ht="35.25" thickBot="1" x14ac:dyDescent="0.3">
      <c r="A3" s="4" t="s">
        <v>124</v>
      </c>
      <c r="B3" s="4" t="s">
        <v>123</v>
      </c>
      <c r="C3" s="4" t="s">
        <v>123</v>
      </c>
      <c r="D3" s="4" t="s">
        <v>123</v>
      </c>
      <c r="E3" s="4" t="s">
        <v>100</v>
      </c>
      <c r="F3" s="4" t="s">
        <v>123</v>
      </c>
      <c r="G3">
        <f t="shared" ref="G3:G20" si="0">COUNTIF(B3:F3,"P")</f>
        <v>4</v>
      </c>
      <c r="H3">
        <f t="shared" ref="H3:H20" si="1">COUNTIF(B3:F3,"A")</f>
        <v>1</v>
      </c>
    </row>
    <row r="4" spans="1:8" ht="18" thickBot="1" x14ac:dyDescent="0.3">
      <c r="A4" s="3" t="s">
        <v>125</v>
      </c>
      <c r="B4" s="3" t="s">
        <v>100</v>
      </c>
      <c r="C4" s="3" t="s">
        <v>123</v>
      </c>
      <c r="D4" s="3" t="s">
        <v>123</v>
      </c>
      <c r="E4" s="3" t="s">
        <v>123</v>
      </c>
      <c r="F4" s="3" t="s">
        <v>123</v>
      </c>
      <c r="G4">
        <f t="shared" si="0"/>
        <v>4</v>
      </c>
      <c r="H4">
        <f t="shared" si="1"/>
        <v>1</v>
      </c>
    </row>
    <row r="5" spans="1:8" ht="18" thickBot="1" x14ac:dyDescent="0.3">
      <c r="A5" s="4" t="s">
        <v>126</v>
      </c>
      <c r="B5" s="4" t="s">
        <v>123</v>
      </c>
      <c r="C5" s="4" t="s">
        <v>100</v>
      </c>
      <c r="D5" s="4" t="s">
        <v>100</v>
      </c>
      <c r="E5" s="4" t="s">
        <v>123</v>
      </c>
      <c r="F5" s="4" t="s">
        <v>100</v>
      </c>
      <c r="G5">
        <f t="shared" si="0"/>
        <v>2</v>
      </c>
      <c r="H5">
        <f t="shared" si="1"/>
        <v>3</v>
      </c>
    </row>
    <row r="6" spans="1:8" ht="18" thickBot="1" x14ac:dyDescent="0.3">
      <c r="A6" s="3" t="s">
        <v>127</v>
      </c>
      <c r="B6" s="3" t="s">
        <v>123</v>
      </c>
      <c r="C6" s="3" t="s">
        <v>100</v>
      </c>
      <c r="D6" s="3" t="s">
        <v>123</v>
      </c>
      <c r="E6" s="3" t="s">
        <v>123</v>
      </c>
      <c r="F6" s="3" t="s">
        <v>123</v>
      </c>
      <c r="G6">
        <f t="shared" si="0"/>
        <v>4</v>
      </c>
      <c r="H6">
        <f t="shared" si="1"/>
        <v>1</v>
      </c>
    </row>
    <row r="7" spans="1:8" ht="18" thickBot="1" x14ac:dyDescent="0.3">
      <c r="A7" s="4" t="s">
        <v>94</v>
      </c>
      <c r="B7" s="4" t="s">
        <v>123</v>
      </c>
      <c r="C7" s="4" t="s">
        <v>123</v>
      </c>
      <c r="D7" s="4" t="s">
        <v>123</v>
      </c>
      <c r="E7" s="4" t="s">
        <v>100</v>
      </c>
      <c r="F7" s="4" t="s">
        <v>123</v>
      </c>
      <c r="G7">
        <f t="shared" si="0"/>
        <v>4</v>
      </c>
      <c r="H7">
        <f t="shared" si="1"/>
        <v>1</v>
      </c>
    </row>
    <row r="8" spans="1:8" ht="18" thickBot="1" x14ac:dyDescent="0.3">
      <c r="A8" s="3" t="s">
        <v>128</v>
      </c>
      <c r="B8" s="3" t="s">
        <v>100</v>
      </c>
      <c r="C8" s="3" t="s">
        <v>123</v>
      </c>
      <c r="D8" s="3" t="s">
        <v>123</v>
      </c>
      <c r="E8" s="3" t="s">
        <v>123</v>
      </c>
      <c r="F8" s="3" t="s">
        <v>123</v>
      </c>
      <c r="G8">
        <f t="shared" si="0"/>
        <v>4</v>
      </c>
      <c r="H8">
        <f t="shared" si="1"/>
        <v>1</v>
      </c>
    </row>
    <row r="9" spans="1:8" ht="18" thickBot="1" x14ac:dyDescent="0.3">
      <c r="A9" s="4" t="s">
        <v>129</v>
      </c>
      <c r="B9" s="4" t="s">
        <v>123</v>
      </c>
      <c r="C9" s="4" t="s">
        <v>100</v>
      </c>
      <c r="D9" s="4" t="s">
        <v>100</v>
      </c>
      <c r="E9" s="4" t="s">
        <v>123</v>
      </c>
      <c r="F9" s="4" t="s">
        <v>100</v>
      </c>
      <c r="G9">
        <f t="shared" si="0"/>
        <v>2</v>
      </c>
      <c r="H9">
        <f t="shared" si="1"/>
        <v>3</v>
      </c>
    </row>
    <row r="10" spans="1:8" ht="18" thickBot="1" x14ac:dyDescent="0.3">
      <c r="A10" s="3" t="s">
        <v>130</v>
      </c>
      <c r="B10" s="3" t="s">
        <v>123</v>
      </c>
      <c r="C10" s="3" t="s">
        <v>100</v>
      </c>
      <c r="D10" s="3" t="s">
        <v>123</v>
      </c>
      <c r="E10" s="3" t="s">
        <v>123</v>
      </c>
      <c r="F10" s="3" t="s">
        <v>123</v>
      </c>
      <c r="G10">
        <f t="shared" si="0"/>
        <v>4</v>
      </c>
      <c r="H10">
        <f t="shared" si="1"/>
        <v>1</v>
      </c>
    </row>
    <row r="11" spans="1:8" ht="18" thickBot="1" x14ac:dyDescent="0.3">
      <c r="A11" s="4" t="s">
        <v>131</v>
      </c>
      <c r="B11" s="4" t="s">
        <v>123</v>
      </c>
      <c r="C11" s="4" t="s">
        <v>123</v>
      </c>
      <c r="D11" s="4" t="s">
        <v>123</v>
      </c>
      <c r="E11" s="4" t="s">
        <v>100</v>
      </c>
      <c r="F11" s="4" t="s">
        <v>123</v>
      </c>
      <c r="G11">
        <f t="shared" si="0"/>
        <v>4</v>
      </c>
      <c r="H11">
        <f t="shared" si="1"/>
        <v>1</v>
      </c>
    </row>
    <row r="12" spans="1:8" ht="18" thickBot="1" x14ac:dyDescent="0.3">
      <c r="A12" s="3" t="s">
        <v>132</v>
      </c>
      <c r="B12" s="3" t="s">
        <v>100</v>
      </c>
      <c r="C12" s="3" t="s">
        <v>123</v>
      </c>
      <c r="D12" s="3" t="s">
        <v>123</v>
      </c>
      <c r="E12" s="3" t="s">
        <v>123</v>
      </c>
      <c r="F12" s="3" t="s">
        <v>123</v>
      </c>
      <c r="G12">
        <f t="shared" si="0"/>
        <v>4</v>
      </c>
      <c r="H12">
        <f t="shared" si="1"/>
        <v>1</v>
      </c>
    </row>
    <row r="13" spans="1:8" ht="18" thickBot="1" x14ac:dyDescent="0.3">
      <c r="A13" s="4" t="s">
        <v>133</v>
      </c>
      <c r="B13" s="4" t="s">
        <v>123</v>
      </c>
      <c r="C13" s="4" t="s">
        <v>100</v>
      </c>
      <c r="D13" s="4" t="s">
        <v>100</v>
      </c>
      <c r="E13" s="4" t="s">
        <v>123</v>
      </c>
      <c r="F13" s="4" t="s">
        <v>100</v>
      </c>
      <c r="G13">
        <f t="shared" si="0"/>
        <v>2</v>
      </c>
      <c r="H13">
        <f t="shared" si="1"/>
        <v>3</v>
      </c>
    </row>
    <row r="14" spans="1:8" ht="18" thickBot="1" x14ac:dyDescent="0.3">
      <c r="A14" s="3" t="s">
        <v>134</v>
      </c>
      <c r="B14" s="3" t="s">
        <v>123</v>
      </c>
      <c r="C14" s="3" t="s">
        <v>100</v>
      </c>
      <c r="D14" s="3" t="s">
        <v>123</v>
      </c>
      <c r="E14" s="3" t="s">
        <v>123</v>
      </c>
      <c r="F14" s="3" t="s">
        <v>123</v>
      </c>
      <c r="G14">
        <f t="shared" si="0"/>
        <v>4</v>
      </c>
      <c r="H14">
        <f t="shared" si="1"/>
        <v>1</v>
      </c>
    </row>
    <row r="15" spans="1:8" ht="18" thickBot="1" x14ac:dyDescent="0.3">
      <c r="A15" s="4" t="s">
        <v>135</v>
      </c>
      <c r="B15" s="4" t="s">
        <v>123</v>
      </c>
      <c r="C15" s="4" t="s">
        <v>123</v>
      </c>
      <c r="D15" s="4" t="s">
        <v>123</v>
      </c>
      <c r="E15" s="4" t="s">
        <v>100</v>
      </c>
      <c r="F15" s="4" t="s">
        <v>123</v>
      </c>
      <c r="G15">
        <f t="shared" si="0"/>
        <v>4</v>
      </c>
      <c r="H15">
        <f t="shared" si="1"/>
        <v>1</v>
      </c>
    </row>
    <row r="16" spans="1:8" ht="18" thickBot="1" x14ac:dyDescent="0.3">
      <c r="A16" s="3" t="s">
        <v>136</v>
      </c>
      <c r="B16" s="3" t="s">
        <v>100</v>
      </c>
      <c r="C16" s="3" t="s">
        <v>123</v>
      </c>
      <c r="D16" s="3" t="s">
        <v>123</v>
      </c>
      <c r="E16" s="3" t="s">
        <v>123</v>
      </c>
      <c r="F16" s="3" t="s">
        <v>123</v>
      </c>
      <c r="G16">
        <f t="shared" si="0"/>
        <v>4</v>
      </c>
      <c r="H16">
        <f t="shared" si="1"/>
        <v>1</v>
      </c>
    </row>
    <row r="17" spans="1:8" ht="18" thickBot="1" x14ac:dyDescent="0.3">
      <c r="A17" s="4" t="s">
        <v>137</v>
      </c>
      <c r="B17" s="4" t="s">
        <v>123</v>
      </c>
      <c r="C17" s="4" t="s">
        <v>100</v>
      </c>
      <c r="D17" s="4" t="s">
        <v>100</v>
      </c>
      <c r="E17" s="4" t="s">
        <v>123</v>
      </c>
      <c r="F17" s="4" t="s">
        <v>100</v>
      </c>
      <c r="G17">
        <f t="shared" si="0"/>
        <v>2</v>
      </c>
      <c r="H17">
        <f t="shared" si="1"/>
        <v>3</v>
      </c>
    </row>
    <row r="18" spans="1:8" ht="18" thickBot="1" x14ac:dyDescent="0.3">
      <c r="A18" s="3" t="s">
        <v>138</v>
      </c>
      <c r="B18" s="3" t="s">
        <v>123</v>
      </c>
      <c r="C18" s="3" t="s">
        <v>100</v>
      </c>
      <c r="D18" s="3" t="s">
        <v>123</v>
      </c>
      <c r="E18" s="3" t="s">
        <v>123</v>
      </c>
      <c r="F18" s="3" t="s">
        <v>123</v>
      </c>
      <c r="G18">
        <f t="shared" si="0"/>
        <v>4</v>
      </c>
      <c r="H18">
        <f t="shared" si="1"/>
        <v>1</v>
      </c>
    </row>
    <row r="19" spans="1:8" ht="18" thickBot="1" x14ac:dyDescent="0.3">
      <c r="A19" s="4" t="s">
        <v>139</v>
      </c>
      <c r="B19" s="4" t="s">
        <v>123</v>
      </c>
      <c r="C19" s="4" t="s">
        <v>123</v>
      </c>
      <c r="D19" s="4" t="s">
        <v>123</v>
      </c>
      <c r="E19" s="4" t="s">
        <v>100</v>
      </c>
      <c r="F19" s="4" t="s">
        <v>123</v>
      </c>
      <c r="G19">
        <f t="shared" si="0"/>
        <v>4</v>
      </c>
      <c r="H19">
        <f t="shared" si="1"/>
        <v>1</v>
      </c>
    </row>
    <row r="20" spans="1:8" ht="18" thickBot="1" x14ac:dyDescent="0.3">
      <c r="A20" s="3" t="s">
        <v>140</v>
      </c>
      <c r="B20" s="3" t="s">
        <v>100</v>
      </c>
      <c r="C20" s="3" t="s">
        <v>123</v>
      </c>
      <c r="D20" s="3" t="s">
        <v>123</v>
      </c>
      <c r="E20" s="3" t="s">
        <v>123</v>
      </c>
      <c r="F20" s="3" t="s">
        <v>123</v>
      </c>
      <c r="G20">
        <f t="shared" si="0"/>
        <v>4</v>
      </c>
      <c r="H20">
        <f t="shared" si="1"/>
        <v>1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9E6C4-8C41-4C57-8E58-BA48E346A5D3}">
  <dimension ref="A1:B23"/>
  <sheetViews>
    <sheetView workbookViewId="0">
      <selection activeCell="F1" sqref="F1"/>
    </sheetView>
  </sheetViews>
  <sheetFormatPr defaultRowHeight="15" x14ac:dyDescent="0.25"/>
  <cols>
    <col min="1" max="1" width="26" customWidth="1"/>
    <col min="2" max="2" width="12.85546875" customWidth="1"/>
  </cols>
  <sheetData>
    <row r="1" spans="1:2" x14ac:dyDescent="0.25">
      <c r="A1" t="s">
        <v>143</v>
      </c>
      <c r="B1" t="s">
        <v>36</v>
      </c>
    </row>
    <row r="2" spans="1:2" x14ac:dyDescent="0.25">
      <c r="A2" t="s">
        <v>144</v>
      </c>
      <c r="B2" s="31">
        <v>4500</v>
      </c>
    </row>
    <row r="3" spans="1:2" x14ac:dyDescent="0.25">
      <c r="A3" t="s">
        <v>145</v>
      </c>
      <c r="B3">
        <v>12000</v>
      </c>
    </row>
    <row r="4" spans="1:2" x14ac:dyDescent="0.25">
      <c r="A4" t="s">
        <v>146</v>
      </c>
      <c r="B4">
        <v>8000</v>
      </c>
    </row>
    <row r="5" spans="1:2" x14ac:dyDescent="0.25">
      <c r="A5" t="s">
        <v>147</v>
      </c>
      <c r="B5">
        <v>25000</v>
      </c>
    </row>
    <row r="6" spans="1:2" x14ac:dyDescent="0.25">
      <c r="A6" t="s">
        <v>148</v>
      </c>
      <c r="B6">
        <v>3000</v>
      </c>
    </row>
    <row r="7" spans="1:2" x14ac:dyDescent="0.25">
      <c r="A7" t="s">
        <v>149</v>
      </c>
      <c r="B7">
        <v>15000</v>
      </c>
    </row>
    <row r="8" spans="1:2" x14ac:dyDescent="0.25">
      <c r="A8" t="s">
        <v>150</v>
      </c>
      <c r="B8">
        <v>14000</v>
      </c>
    </row>
    <row r="9" spans="1:2" x14ac:dyDescent="0.25">
      <c r="A9" t="s">
        <v>151</v>
      </c>
      <c r="B9">
        <v>5000</v>
      </c>
    </row>
    <row r="10" spans="1:2" x14ac:dyDescent="0.25">
      <c r="A10" t="s">
        <v>152</v>
      </c>
      <c r="B10">
        <v>9000</v>
      </c>
    </row>
    <row r="11" spans="1:2" x14ac:dyDescent="0.25">
      <c r="A11" t="s">
        <v>153</v>
      </c>
      <c r="B11">
        <v>12000</v>
      </c>
    </row>
    <row r="12" spans="1:2" x14ac:dyDescent="0.25">
      <c r="A12" t="s">
        <v>154</v>
      </c>
      <c r="B12">
        <v>6000</v>
      </c>
    </row>
    <row r="13" spans="1:2" x14ac:dyDescent="0.25">
      <c r="A13" t="s">
        <v>155</v>
      </c>
      <c r="B13">
        <v>15000</v>
      </c>
    </row>
    <row r="14" spans="1:2" x14ac:dyDescent="0.25">
      <c r="A14" t="s">
        <v>156</v>
      </c>
      <c r="B14">
        <v>10000</v>
      </c>
    </row>
    <row r="15" spans="1:2" x14ac:dyDescent="0.25">
      <c r="A15" t="s">
        <v>157</v>
      </c>
      <c r="B15">
        <v>22000</v>
      </c>
    </row>
    <row r="16" spans="1:2" x14ac:dyDescent="0.25">
      <c r="A16" t="s">
        <v>158</v>
      </c>
      <c r="B16">
        <v>13000</v>
      </c>
    </row>
    <row r="17" spans="1:2" x14ac:dyDescent="0.25">
      <c r="A17" t="s">
        <v>159</v>
      </c>
      <c r="B17">
        <v>8000</v>
      </c>
    </row>
    <row r="18" spans="1:2" x14ac:dyDescent="0.25">
      <c r="A18" t="s">
        <v>160</v>
      </c>
      <c r="B18">
        <v>5000</v>
      </c>
    </row>
    <row r="19" spans="1:2" x14ac:dyDescent="0.25">
      <c r="A19" t="s">
        <v>161</v>
      </c>
      <c r="B19">
        <v>4500</v>
      </c>
    </row>
    <row r="20" spans="1:2" x14ac:dyDescent="0.25">
      <c r="A20" t="s">
        <v>162</v>
      </c>
      <c r="B20">
        <v>24000</v>
      </c>
    </row>
    <row r="21" spans="1:2" x14ac:dyDescent="0.25">
      <c r="A21" t="s">
        <v>163</v>
      </c>
      <c r="B21">
        <v>21000</v>
      </c>
    </row>
    <row r="22" spans="1:2" x14ac:dyDescent="0.25">
      <c r="A22" t="s">
        <v>164</v>
      </c>
      <c r="B22">
        <f>COUNTIF(B2:B21,"&gt;10000")</f>
        <v>10</v>
      </c>
    </row>
    <row r="23" spans="1:2" x14ac:dyDescent="0.25">
      <c r="A23" t="s">
        <v>165</v>
      </c>
      <c r="B23">
        <f>COUNTIF(B2:B21,"&lt;5000")</f>
        <v>3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9F4D-D035-4611-BF91-882D5C7822F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D308-FB06-4265-829F-970FBED0BD67}">
  <dimension ref="A1:B21"/>
  <sheetViews>
    <sheetView workbookViewId="0">
      <selection activeCell="G1" sqref="G1"/>
    </sheetView>
  </sheetViews>
  <sheetFormatPr defaultRowHeight="15" x14ac:dyDescent="0.25"/>
  <cols>
    <col min="1" max="1" width="12.28515625" customWidth="1"/>
    <col min="2" max="2" width="14.7109375" customWidth="1"/>
  </cols>
  <sheetData>
    <row r="1" spans="1:2" x14ac:dyDescent="0.25">
      <c r="A1" t="s">
        <v>166</v>
      </c>
      <c r="B1" t="s">
        <v>36</v>
      </c>
    </row>
    <row r="2" spans="1:2" x14ac:dyDescent="0.25">
      <c r="A2" t="s">
        <v>167</v>
      </c>
      <c r="B2">
        <v>22000</v>
      </c>
    </row>
    <row r="3" spans="1:2" x14ac:dyDescent="0.25">
      <c r="A3" t="s">
        <v>168</v>
      </c>
      <c r="B3">
        <v>3500</v>
      </c>
    </row>
    <row r="4" spans="1:2" x14ac:dyDescent="0.25">
      <c r="A4" t="s">
        <v>169</v>
      </c>
      <c r="B4">
        <v>58000</v>
      </c>
    </row>
    <row r="5" spans="1:2" x14ac:dyDescent="0.25">
      <c r="A5" t="s">
        <v>170</v>
      </c>
      <c r="B5">
        <v>1800</v>
      </c>
    </row>
    <row r="6" spans="1:2" x14ac:dyDescent="0.25">
      <c r="A6" t="s">
        <v>171</v>
      </c>
      <c r="B6">
        <v>12000</v>
      </c>
    </row>
    <row r="7" spans="1:2" x14ac:dyDescent="0.25">
      <c r="A7" t="s">
        <v>167</v>
      </c>
      <c r="B7">
        <v>13000</v>
      </c>
    </row>
    <row r="8" spans="1:2" x14ac:dyDescent="0.25">
      <c r="A8" t="s">
        <v>168</v>
      </c>
      <c r="B8">
        <v>2000</v>
      </c>
    </row>
    <row r="9" spans="1:2" x14ac:dyDescent="0.25">
      <c r="A9" t="s">
        <v>169</v>
      </c>
      <c r="B9">
        <v>1300</v>
      </c>
    </row>
    <row r="10" spans="1:2" x14ac:dyDescent="0.25">
      <c r="A10" t="s">
        <v>170</v>
      </c>
      <c r="B10">
        <v>8500</v>
      </c>
    </row>
    <row r="11" spans="1:2" x14ac:dyDescent="0.25">
      <c r="A11" t="s">
        <v>171</v>
      </c>
      <c r="B11">
        <v>56000</v>
      </c>
    </row>
    <row r="12" spans="1:2" x14ac:dyDescent="0.25">
      <c r="A12" t="s">
        <v>167</v>
      </c>
      <c r="B12">
        <v>7000</v>
      </c>
    </row>
    <row r="13" spans="1:2" x14ac:dyDescent="0.25">
      <c r="A13" t="s">
        <v>168</v>
      </c>
      <c r="B13">
        <v>24000</v>
      </c>
    </row>
    <row r="14" spans="1:2" x14ac:dyDescent="0.25">
      <c r="A14" t="s">
        <v>169</v>
      </c>
      <c r="B14">
        <v>30000</v>
      </c>
    </row>
    <row r="15" spans="1:2" x14ac:dyDescent="0.25">
      <c r="A15" t="s">
        <v>170</v>
      </c>
      <c r="B15">
        <v>5600</v>
      </c>
    </row>
    <row r="16" spans="1:2" x14ac:dyDescent="0.25">
      <c r="A16" t="s">
        <v>171</v>
      </c>
      <c r="B16">
        <v>3000</v>
      </c>
    </row>
    <row r="17" spans="1:2" x14ac:dyDescent="0.25">
      <c r="A17" t="s">
        <v>167</v>
      </c>
      <c r="B17">
        <v>45000</v>
      </c>
    </row>
    <row r="18" spans="1:2" x14ac:dyDescent="0.25">
      <c r="A18" t="s">
        <v>168</v>
      </c>
      <c r="B18">
        <v>33000</v>
      </c>
    </row>
    <row r="19" spans="1:2" x14ac:dyDescent="0.25">
      <c r="A19" t="s">
        <v>169</v>
      </c>
      <c r="B19">
        <v>3500</v>
      </c>
    </row>
    <row r="20" spans="1:2" x14ac:dyDescent="0.25">
      <c r="A20" t="s">
        <v>170</v>
      </c>
      <c r="B20">
        <v>6500</v>
      </c>
    </row>
    <row r="21" spans="1:2" x14ac:dyDescent="0.25">
      <c r="A21" t="s">
        <v>171</v>
      </c>
      <c r="B21">
        <v>45000</v>
      </c>
    </row>
  </sheetData>
  <conditionalFormatting sqref="B2:B21">
    <cfRule type="cellIs" dxfId="9" priority="2" operator="greaterThan">
      <formula>20000</formula>
    </cfRule>
    <cfRule type="cellIs" dxfId="10" priority="1" operator="lessThan">
      <formula>5000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E6D-D3A2-462C-878E-5CDAEA6FEEEB}">
  <dimension ref="A1:C21"/>
  <sheetViews>
    <sheetView workbookViewId="0">
      <selection activeCell="L1" sqref="L1"/>
    </sheetView>
  </sheetViews>
  <sheetFormatPr defaultRowHeight="15" x14ac:dyDescent="0.25"/>
  <sheetData>
    <row r="1" spans="1:3" x14ac:dyDescent="0.25">
      <c r="A1" t="s">
        <v>172</v>
      </c>
      <c r="B1" t="s">
        <v>1</v>
      </c>
      <c r="C1" t="s">
        <v>173</v>
      </c>
    </row>
    <row r="2" spans="1:3" x14ac:dyDescent="0.25">
      <c r="A2">
        <v>1</v>
      </c>
      <c r="B2" t="s">
        <v>174</v>
      </c>
      <c r="C2">
        <v>85</v>
      </c>
    </row>
    <row r="3" spans="1:3" x14ac:dyDescent="0.25">
      <c r="A3">
        <v>2</v>
      </c>
      <c r="B3" t="s">
        <v>175</v>
      </c>
      <c r="C3">
        <v>72</v>
      </c>
    </row>
    <row r="4" spans="1:3" x14ac:dyDescent="0.25">
      <c r="A4">
        <v>3</v>
      </c>
      <c r="B4" t="s">
        <v>128</v>
      </c>
      <c r="C4">
        <v>39</v>
      </c>
    </row>
    <row r="5" spans="1:3" x14ac:dyDescent="0.25">
      <c r="A5">
        <v>4</v>
      </c>
      <c r="B5" t="s">
        <v>176</v>
      </c>
      <c r="C5">
        <v>91</v>
      </c>
    </row>
    <row r="6" spans="1:3" x14ac:dyDescent="0.25">
      <c r="A6">
        <v>5</v>
      </c>
      <c r="B6" t="s">
        <v>177</v>
      </c>
      <c r="C6">
        <v>28</v>
      </c>
    </row>
    <row r="7" spans="1:3" x14ac:dyDescent="0.25">
      <c r="A7">
        <v>6</v>
      </c>
      <c r="B7" t="s">
        <v>178</v>
      </c>
      <c r="C7">
        <v>89</v>
      </c>
    </row>
    <row r="8" spans="1:3" x14ac:dyDescent="0.25">
      <c r="A8">
        <v>7</v>
      </c>
      <c r="B8" t="s">
        <v>179</v>
      </c>
      <c r="C8">
        <v>45</v>
      </c>
    </row>
    <row r="9" spans="1:3" x14ac:dyDescent="0.25">
      <c r="A9">
        <v>8</v>
      </c>
      <c r="B9" t="s">
        <v>180</v>
      </c>
      <c r="C9">
        <v>56</v>
      </c>
    </row>
    <row r="10" spans="1:3" x14ac:dyDescent="0.25">
      <c r="A10">
        <v>9</v>
      </c>
      <c r="B10" t="s">
        <v>98</v>
      </c>
      <c r="C10">
        <v>72</v>
      </c>
    </row>
    <row r="11" spans="1:3" x14ac:dyDescent="0.25">
      <c r="A11">
        <v>10</v>
      </c>
      <c r="B11" t="s">
        <v>60</v>
      </c>
      <c r="C11">
        <v>58</v>
      </c>
    </row>
    <row r="12" spans="1:3" x14ac:dyDescent="0.25">
      <c r="A12">
        <v>11</v>
      </c>
      <c r="B12" t="s">
        <v>181</v>
      </c>
      <c r="C12">
        <v>33</v>
      </c>
    </row>
    <row r="13" spans="1:3" x14ac:dyDescent="0.25">
      <c r="A13">
        <v>12</v>
      </c>
      <c r="B13" t="s">
        <v>182</v>
      </c>
      <c r="C13">
        <v>77</v>
      </c>
    </row>
    <row r="14" spans="1:3" x14ac:dyDescent="0.25">
      <c r="A14">
        <v>13</v>
      </c>
      <c r="B14" t="s">
        <v>183</v>
      </c>
      <c r="C14">
        <v>88</v>
      </c>
    </row>
    <row r="15" spans="1:3" x14ac:dyDescent="0.25">
      <c r="A15">
        <v>14</v>
      </c>
      <c r="B15" t="s">
        <v>136</v>
      </c>
      <c r="C15">
        <v>41</v>
      </c>
    </row>
    <row r="16" spans="1:3" x14ac:dyDescent="0.25">
      <c r="A16">
        <v>15</v>
      </c>
      <c r="B16" t="s">
        <v>184</v>
      </c>
      <c r="C16">
        <v>59</v>
      </c>
    </row>
    <row r="17" spans="1:3" x14ac:dyDescent="0.25">
      <c r="A17">
        <v>16</v>
      </c>
      <c r="B17" t="s">
        <v>185</v>
      </c>
      <c r="C17">
        <v>60</v>
      </c>
    </row>
    <row r="18" spans="1:3" x14ac:dyDescent="0.25">
      <c r="A18">
        <v>17</v>
      </c>
      <c r="B18" t="s">
        <v>186</v>
      </c>
      <c r="C18">
        <v>48</v>
      </c>
    </row>
    <row r="19" spans="1:3" x14ac:dyDescent="0.25">
      <c r="A19">
        <v>18</v>
      </c>
      <c r="B19" t="s">
        <v>187</v>
      </c>
      <c r="C19">
        <v>25</v>
      </c>
    </row>
    <row r="20" spans="1:3" x14ac:dyDescent="0.25">
      <c r="A20">
        <v>19</v>
      </c>
      <c r="B20" t="s">
        <v>188</v>
      </c>
      <c r="C20">
        <v>39</v>
      </c>
    </row>
    <row r="21" spans="1:3" x14ac:dyDescent="0.25">
      <c r="A21">
        <v>20</v>
      </c>
      <c r="B21" t="s">
        <v>189</v>
      </c>
      <c r="C21">
        <v>33</v>
      </c>
    </row>
  </sheetData>
  <conditionalFormatting sqref="C2:C21">
    <cfRule type="cellIs" priority="3" operator="greaterThanOrEqual">
      <formula>75</formula>
    </cfRule>
    <cfRule type="cellIs" dxfId="6" priority="2" operator="greaterThanOrEqual">
      <formula>75</formula>
    </cfRule>
    <cfRule type="cellIs" dxfId="7" priority="1" operator="lessThan">
      <formula>40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E6430-1DA6-446E-A70B-0A69D1B24FEA}">
  <dimension ref="A1:D21"/>
  <sheetViews>
    <sheetView workbookViewId="0">
      <selection activeCell="E1" sqref="E1"/>
    </sheetView>
  </sheetViews>
  <sheetFormatPr defaultRowHeight="15" x14ac:dyDescent="0.25"/>
  <cols>
    <col min="1" max="1" width="17" customWidth="1"/>
  </cols>
  <sheetData>
    <row r="1" spans="1:4" x14ac:dyDescent="0.25">
      <c r="A1" s="1" t="s">
        <v>190</v>
      </c>
      <c r="B1" s="1"/>
      <c r="C1" s="1"/>
      <c r="D1" s="1"/>
    </row>
    <row r="2" spans="1:4" x14ac:dyDescent="0.25">
      <c r="A2" t="s">
        <v>191</v>
      </c>
      <c r="B2" t="s">
        <v>3</v>
      </c>
    </row>
    <row r="3" spans="1:4" x14ac:dyDescent="0.25">
      <c r="A3" t="s">
        <v>192</v>
      </c>
      <c r="B3">
        <v>28000</v>
      </c>
    </row>
    <row r="4" spans="1:4" x14ac:dyDescent="0.25">
      <c r="A4" t="s">
        <v>193</v>
      </c>
      <c r="B4">
        <v>34000</v>
      </c>
    </row>
    <row r="5" spans="1:4" x14ac:dyDescent="0.25">
      <c r="A5" t="s">
        <v>194</v>
      </c>
      <c r="B5">
        <v>51000</v>
      </c>
    </row>
    <row r="6" spans="1:4" x14ac:dyDescent="0.25">
      <c r="A6" t="s">
        <v>195</v>
      </c>
      <c r="B6">
        <v>47000</v>
      </c>
    </row>
    <row r="7" spans="1:4" x14ac:dyDescent="0.25">
      <c r="A7" t="s">
        <v>178</v>
      </c>
      <c r="B7">
        <v>29000</v>
      </c>
    </row>
    <row r="8" spans="1:4" x14ac:dyDescent="0.25">
      <c r="A8" t="s">
        <v>181</v>
      </c>
      <c r="B8">
        <v>25000</v>
      </c>
    </row>
    <row r="9" spans="1:4" x14ac:dyDescent="0.25">
      <c r="A9" t="s">
        <v>196</v>
      </c>
      <c r="B9">
        <v>33000</v>
      </c>
    </row>
    <row r="10" spans="1:4" x14ac:dyDescent="0.25">
      <c r="A10" t="s">
        <v>197</v>
      </c>
      <c r="B10">
        <v>45000</v>
      </c>
    </row>
    <row r="11" spans="1:4" x14ac:dyDescent="0.25">
      <c r="A11" t="s">
        <v>195</v>
      </c>
      <c r="B11">
        <v>39000</v>
      </c>
    </row>
    <row r="12" spans="1:4" x14ac:dyDescent="0.25">
      <c r="A12" t="s">
        <v>188</v>
      </c>
      <c r="B12">
        <v>41000</v>
      </c>
    </row>
    <row r="13" spans="1:4" x14ac:dyDescent="0.25">
      <c r="A13" t="s">
        <v>198</v>
      </c>
      <c r="B13">
        <v>50000</v>
      </c>
    </row>
    <row r="14" spans="1:4" x14ac:dyDescent="0.25">
      <c r="A14" t="s">
        <v>96</v>
      </c>
      <c r="B14">
        <v>36000</v>
      </c>
    </row>
    <row r="15" spans="1:4" x14ac:dyDescent="0.25">
      <c r="A15" t="s">
        <v>199</v>
      </c>
      <c r="B15">
        <v>43000</v>
      </c>
    </row>
    <row r="16" spans="1:4" x14ac:dyDescent="0.25">
      <c r="A16" t="s">
        <v>200</v>
      </c>
      <c r="B16">
        <v>52000</v>
      </c>
    </row>
    <row r="17" spans="1:2" x14ac:dyDescent="0.25">
      <c r="A17" t="s">
        <v>179</v>
      </c>
      <c r="B17">
        <v>20000</v>
      </c>
    </row>
    <row r="18" spans="1:2" x14ac:dyDescent="0.25">
      <c r="A18" t="s">
        <v>201</v>
      </c>
      <c r="B18">
        <v>45000</v>
      </c>
    </row>
    <row r="19" spans="1:2" x14ac:dyDescent="0.25">
      <c r="A19" t="s">
        <v>202</v>
      </c>
      <c r="B19">
        <v>40000</v>
      </c>
    </row>
    <row r="20" spans="1:2" x14ac:dyDescent="0.25">
      <c r="A20" t="s">
        <v>203</v>
      </c>
      <c r="B20">
        <v>36000</v>
      </c>
    </row>
    <row r="21" spans="1:2" x14ac:dyDescent="0.25">
      <c r="A21" t="s">
        <v>107</v>
      </c>
      <c r="B21">
        <v>44000</v>
      </c>
    </row>
  </sheetData>
  <mergeCells count="1">
    <mergeCell ref="A1:D1"/>
  </mergeCells>
  <conditionalFormatting sqref="B3:B21">
    <cfRule type="cellIs" dxfId="0" priority="3" operator="greaterThanOrEqual">
      <formula>50000</formula>
    </cfRule>
    <cfRule type="cellIs" dxfId="1" priority="2" operator="between">
      <formula>30000</formula>
      <formula>49999</formula>
    </cfRule>
    <cfRule type="cellIs" dxfId="2" priority="1" operator="lessThan">
      <formula>30000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Sheet11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Gohel</dc:creator>
  <cp:lastModifiedBy>Mukesh Gohel</cp:lastModifiedBy>
  <dcterms:created xsi:type="dcterms:W3CDTF">2026-06-23T09:38:45Z</dcterms:created>
  <dcterms:modified xsi:type="dcterms:W3CDTF">2026-06-23T13:05:08Z</dcterms:modified>
</cp:coreProperties>
</file>