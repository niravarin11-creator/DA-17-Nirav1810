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34\Desktop\"/>
    </mc:Choice>
  </mc:AlternateContent>
  <xr:revisionPtr revIDLastSave="0" documentId="13_ncr:1_{F6A49F4C-94EA-440E-B221-E26A2FFDDBB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1" sheetId="6" r:id="rId6"/>
    <sheet name="Sheet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5" i="6" l="1"/>
  <c r="C36" i="6"/>
  <c r="C37" i="6"/>
  <c r="C38" i="6"/>
  <c r="C39" i="6"/>
  <c r="C34" i="6"/>
  <c r="M13" i="6"/>
  <c r="N19" i="6" s="1"/>
  <c r="M14" i="6"/>
  <c r="M15" i="6"/>
  <c r="M16" i="6"/>
  <c r="H13" i="6"/>
  <c r="H14" i="6"/>
  <c r="H12" i="6"/>
  <c r="F12" i="6"/>
  <c r="G14" i="6"/>
  <c r="G13" i="6"/>
  <c r="G12" i="6"/>
  <c r="S26" i="6"/>
  <c r="S27" i="6"/>
  <c r="S28" i="6"/>
  <c r="S29" i="6"/>
  <c r="S25" i="6"/>
  <c r="M22" i="6"/>
  <c r="M12" i="6"/>
  <c r="T4" i="6"/>
  <c r="T5" i="6"/>
  <c r="T6" i="6"/>
  <c r="T7" i="6"/>
  <c r="T3" i="6"/>
  <c r="B31" i="6"/>
  <c r="B30" i="6"/>
  <c r="C22" i="6" a="1"/>
  <c r="C22" i="6" s="1"/>
  <c r="I4" i="6"/>
  <c r="I5" i="6"/>
  <c r="I6" i="6"/>
  <c r="I7" i="6"/>
  <c r="I8" i="6"/>
  <c r="I3" i="6"/>
  <c r="B16" i="6"/>
  <c r="F13" i="6"/>
  <c r="F14" i="6"/>
  <c r="I8" i="2"/>
  <c r="I3" i="2"/>
  <c r="I4" i="2"/>
  <c r="I5" i="2"/>
  <c r="I6" i="2"/>
  <c r="I7" i="2"/>
  <c r="I2" i="2"/>
  <c r="J32" i="5"/>
  <c r="I9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<sst xmlns="http://schemas.openxmlformats.org/spreadsheetml/2006/main" count="195" uniqueCount="101">
  <si>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</si>
  <si>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</si>
  <si>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</si>
  <si>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</si>
  <si>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</si>
  <si>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</si>
  <si>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</si>
  <si>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</si>
  <si>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</si>
  <si>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</si>
  <si>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</si>
  <si>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</si>
  <si>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</si>
  <si>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</si>
  <si>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</si>
  <si>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</si>
  <si>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</si>
  <si>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</si>
  <si>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</si>
  <si>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</si>
  <si>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</si>
  <si>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</si>
  <si>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</si>
  <si>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</si>
  <si>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</si>
  <si>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</si>
  <si>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</si>
  <si>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</si>
  <si>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</si>
  <si>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</si>
  <si>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</si>
  <si>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</si>
  <si>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</si>
  <si>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</si>
  <si>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</si>
  <si>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</si>
  <si>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</si>
  <si>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</si>
  <si>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</si>
  <si>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</si>
  <si>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</si>
  <si>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</si>
  <si>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</si>
  <si>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</si>
  <si>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</si>
  <si>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</si>
  <si>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</si>
  <si>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</si>
  <si>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</si>
  <si>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</si>
  <si>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</si>
  <si>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</si>
  <si>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</si>
  <si>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</si>
  <si>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</si>
  <si>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</si>
  <si>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</si>
  <si>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</si>
  <si>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</si>
  <si>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</si>
  <si>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</si>
  <si>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</si>
  <si>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</si>
  <si>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</si>
  <si>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</si>
  <si>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</si>
  <si>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</si>
  <si>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</si>
  <si>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</si>
  <si>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</si>
  <si>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</si>
  <si>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</si>
  <si>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</si>
  <si>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 Per Order</t>
  </si>
  <si>
    <t>Q1</t>
  </si>
  <si>
    <t>Q2</t>
  </si>
  <si>
    <t>Unit Price</t>
  </si>
  <si>
    <t>GST Amount</t>
  </si>
  <si>
    <t xml:space="preserve">Total Sales </t>
  </si>
  <si>
    <t>Total Sales</t>
  </si>
  <si>
    <t>Q5</t>
  </si>
  <si>
    <t>Total Orders</t>
  </si>
  <si>
    <t>Q6</t>
  </si>
  <si>
    <t>Region Sales</t>
  </si>
  <si>
    <t>Q7</t>
  </si>
  <si>
    <t>IF function</t>
  </si>
  <si>
    <t>Q8</t>
  </si>
  <si>
    <t>Max</t>
  </si>
  <si>
    <t>Min</t>
  </si>
  <si>
    <t>Q9</t>
  </si>
  <si>
    <t>Month</t>
  </si>
  <si>
    <t>Q12</t>
  </si>
  <si>
    <t>Average Marks</t>
  </si>
  <si>
    <t>Q13</t>
  </si>
  <si>
    <t>Topper</t>
  </si>
  <si>
    <t>Q14</t>
  </si>
  <si>
    <t>Attendance&gt;90%</t>
  </si>
  <si>
    <t>Q15</t>
  </si>
  <si>
    <t>Eligiblity</t>
  </si>
  <si>
    <t>Sales + GST</t>
  </si>
  <si>
    <t>Q19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</si>
</sst>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Sheet1!$Q$2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Sheet1!$M$3:$N$7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Sheet1!$Q$3:$Q$7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E-4C9A-8062-5B4EB087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339104"/>
        <c:axId val="787339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Sheet1!$O$2</c15:sqref>
                        </c15:formulaRef>
                      </c:ext>
                    </c:extLst>
                    <c:strCache>
                      <c:ptCount val="1"/>
                      <c:pt idx="0">
                        <c:v>Maths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Sheet1!$O$3:$O$7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78</c:v>
                      </c:pt>
                      <c:pt idx="1">
                        <c:v>88</c:v>
                      </c:pt>
                      <c:pt idx="2">
                        <c:v>65</c:v>
                      </c:pt>
                      <c:pt idx="3">
                        <c:v>92</c:v>
                      </c:pt>
                      <c:pt idx="4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2E-4C9A-8062-5B4EB08787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</c15:sqref>
                        </c15:formulaRef>
                      </c:ext>
                    </c:extLst>
                    <c:strCache>
                      <c:ptCount val="1"/>
                      <c:pt idx="0">
                        <c:v>Statistics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Sheet1!$P$3:$P$7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82</c:v>
                      </c:pt>
                      <c:pt idx="1">
                        <c:v>91</c:v>
                      </c:pt>
                      <c:pt idx="2">
                        <c:v>70</c:v>
                      </c:pt>
                      <c:pt idx="3">
                        <c:v>89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2E-4C9A-8062-5B4EB087876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Attendance_%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Sheet1!$R$3:$R$7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92</c:v>
                      </c:pt>
                      <c:pt idx="1">
                        <c:v>96</c:v>
                      </c:pt>
                      <c:pt idx="2">
                        <c:v>85</c:v>
                      </c:pt>
                      <c:pt idx="3">
                        <c:v>98</c:v>
                      </c:pt>
                      <c:pt idx="4">
                        <c:v>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2E-4C9A-8062-5B4EB087876F}"/>
                  </c:ext>
                </c:extLst>
              </c15:ser>
            </c15:filteredBarSeries>
          </c:ext>
        </c:extLst>
      </c:barChart>
      <c:catAx>
        <c:axId val="7873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520"/>
        <c:crosses val="autoZero"/>
        <c:auto val="1"/>
        <c:lblAlgn val="ctr"/>
        <c:lblOffset val="100"/>
        <c:noMultiLvlLbl val="0"/>
      </c:catAx>
      <c:valAx>
        <c:axId val="78733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30</xdr:row>
      <xdr:rowOff>23812</xdr:rowOff>
    </xdr:from>
    <xdr:to>
      <xdr:col>19</xdr:col>
      <xdr:colOff>38100</xdr:colOff>
      <xdr:row>44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984F4-E7D7-95BB-D989-0F4D740C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G1" sqref="G1:G7"/>
    </sheetView>
  </sheetViews>
  <sheetFormatPr defaultRowHeight="15" x14ac:dyDescent="0.25"/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73</v>
      </c>
    </row>
    <row r="2" spans="1:9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I2">
        <f>SUMPRODUCT(E2:F2)</f>
        <v>45002</v>
      </c>
    </row>
    <row r="3" spans="1:9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I3">
        <f t="shared" ref="I3:I7" si="0">SUMPRODUCT(E3:F3)</f>
        <v>15005</v>
      </c>
    </row>
    <row r="4" spans="1:9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I4">
        <f t="shared" si="0"/>
        <v>18003</v>
      </c>
    </row>
    <row r="5" spans="1:9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I5">
        <f t="shared" si="0"/>
        <v>45001</v>
      </c>
    </row>
    <row r="6" spans="1:9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I6">
        <f t="shared" si="0"/>
        <v>15004</v>
      </c>
    </row>
    <row r="7" spans="1:9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I7">
        <f t="shared" si="0"/>
        <v>45002</v>
      </c>
    </row>
    <row r="8" spans="1:9" x14ac:dyDescent="0.25">
      <c r="I8">
        <f>SUM(I2:I7)</f>
        <v>183017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4" workbookViewId="0">
      <selection activeCell="O29" sqref="O29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0882-8417-4F03-86E8-490B478DE73A}">
  <dimension ref="A1:T39"/>
  <sheetViews>
    <sheetView tabSelected="1" workbookViewId="0">
      <selection activeCell="S25" sqref="S25"/>
    </sheetView>
  </sheetViews>
  <sheetFormatPr defaultRowHeight="15" x14ac:dyDescent="0.25"/>
  <cols>
    <col min="2" max="2" width="10.42578125" customWidth="1"/>
    <col min="6" max="6" width="9.5703125" bestFit="1" customWidth="1"/>
    <col min="7" max="7" width="11" customWidth="1"/>
    <col min="8" max="8" width="11.7109375" customWidth="1"/>
    <col min="9" max="9" width="10.28515625" customWidth="1"/>
    <col min="12" max="12" width="12.7109375" customWidth="1"/>
    <col min="13" max="13" width="13.7109375" customWidth="1"/>
  </cols>
  <sheetData>
    <row r="1" spans="1:20" x14ac:dyDescent="0.25">
      <c r="A1" t="s">
        <v>74</v>
      </c>
    </row>
    <row r="2" spans="1:20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79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T2" t="s">
        <v>92</v>
      </c>
    </row>
    <row r="3" spans="1:20" x14ac:dyDescent="0.25">
      <c r="B3">
        <v>301</v>
      </c>
      <c r="C3" t="s">
        <v>11</v>
      </c>
      <c r="D3" t="s">
        <v>12</v>
      </c>
      <c r="E3" t="s">
        <v>13</v>
      </c>
      <c r="F3">
        <v>2</v>
      </c>
      <c r="G3">
        <v>45000</v>
      </c>
      <c r="H3" t="s">
        <v>14</v>
      </c>
      <c r="I3">
        <f>PRODUCT(F3:G3)</f>
        <v>90000</v>
      </c>
      <c r="M3">
        <v>1</v>
      </c>
      <c r="N3" t="s">
        <v>37</v>
      </c>
      <c r="O3">
        <v>78</v>
      </c>
      <c r="P3">
        <v>82</v>
      </c>
      <c r="Q3">
        <v>85</v>
      </c>
      <c r="R3">
        <v>92</v>
      </c>
      <c r="T3">
        <f>AVERAGE(O3:Q3)</f>
        <v>81.666666666666671</v>
      </c>
    </row>
    <row r="4" spans="1:20" x14ac:dyDescent="0.25">
      <c r="B4">
        <v>302</v>
      </c>
      <c r="C4" t="s">
        <v>15</v>
      </c>
      <c r="D4" t="s">
        <v>16</v>
      </c>
      <c r="E4" t="s">
        <v>17</v>
      </c>
      <c r="F4">
        <v>5</v>
      </c>
      <c r="G4">
        <v>15000</v>
      </c>
      <c r="H4" t="s">
        <v>18</v>
      </c>
      <c r="I4">
        <f t="shared" ref="I4:I8" si="0">PRODUCT(F4:G4)</f>
        <v>75000</v>
      </c>
      <c r="M4">
        <v>2</v>
      </c>
      <c r="N4" t="s">
        <v>38</v>
      </c>
      <c r="O4">
        <v>88</v>
      </c>
      <c r="P4">
        <v>91</v>
      </c>
      <c r="Q4">
        <v>90</v>
      </c>
      <c r="R4">
        <v>96</v>
      </c>
      <c r="T4">
        <f t="shared" ref="T4:T7" si="1">AVERAGE(O4:Q4)</f>
        <v>89.666666666666671</v>
      </c>
    </row>
    <row r="5" spans="1:20" x14ac:dyDescent="0.25">
      <c r="B5">
        <v>303</v>
      </c>
      <c r="C5" t="s">
        <v>19</v>
      </c>
      <c r="D5" t="s">
        <v>20</v>
      </c>
      <c r="E5" t="s">
        <v>21</v>
      </c>
      <c r="F5">
        <v>3</v>
      </c>
      <c r="G5">
        <v>18000</v>
      </c>
      <c r="H5" t="s">
        <v>22</v>
      </c>
      <c r="I5">
        <f t="shared" si="0"/>
        <v>54000</v>
      </c>
      <c r="M5">
        <v>3</v>
      </c>
      <c r="N5" t="s">
        <v>39</v>
      </c>
      <c r="O5">
        <v>65</v>
      </c>
      <c r="P5">
        <v>70</v>
      </c>
      <c r="Q5">
        <v>72</v>
      </c>
      <c r="R5">
        <v>85</v>
      </c>
      <c r="T5">
        <f t="shared" si="1"/>
        <v>69</v>
      </c>
    </row>
    <row r="6" spans="1:20" x14ac:dyDescent="0.25">
      <c r="B6">
        <v>304</v>
      </c>
      <c r="C6" t="s">
        <v>23</v>
      </c>
      <c r="D6" t="s">
        <v>24</v>
      </c>
      <c r="E6" t="s">
        <v>13</v>
      </c>
      <c r="F6">
        <v>1</v>
      </c>
      <c r="G6">
        <v>45000</v>
      </c>
      <c r="H6" t="s">
        <v>25</v>
      </c>
      <c r="I6">
        <f t="shared" si="0"/>
        <v>45000</v>
      </c>
      <c r="M6">
        <v>4</v>
      </c>
      <c r="N6" t="s">
        <v>40</v>
      </c>
      <c r="O6">
        <v>92</v>
      </c>
      <c r="P6">
        <v>89</v>
      </c>
      <c r="Q6">
        <v>94</v>
      </c>
      <c r="R6">
        <v>98</v>
      </c>
      <c r="T6">
        <f t="shared" si="1"/>
        <v>91.666666666666671</v>
      </c>
    </row>
    <row r="7" spans="1:20" x14ac:dyDescent="0.25">
      <c r="B7">
        <v>305</v>
      </c>
      <c r="C7" t="s">
        <v>11</v>
      </c>
      <c r="D7" t="s">
        <v>12</v>
      </c>
      <c r="E7" t="s">
        <v>17</v>
      </c>
      <c r="F7">
        <v>4</v>
      </c>
      <c r="G7">
        <v>15000</v>
      </c>
      <c r="H7" t="s">
        <v>26</v>
      </c>
      <c r="I7">
        <f t="shared" si="0"/>
        <v>60000</v>
      </c>
      <c r="M7">
        <v>5</v>
      </c>
      <c r="N7" t="s">
        <v>41</v>
      </c>
      <c r="O7">
        <v>55</v>
      </c>
      <c r="P7">
        <v>60</v>
      </c>
      <c r="Q7">
        <v>58</v>
      </c>
      <c r="R7">
        <v>80</v>
      </c>
      <c r="T7">
        <f t="shared" si="1"/>
        <v>57.666666666666664</v>
      </c>
    </row>
    <row r="8" spans="1:20" x14ac:dyDescent="0.25">
      <c r="B8">
        <v>306</v>
      </c>
      <c r="C8" t="s">
        <v>15</v>
      </c>
      <c r="D8" t="s">
        <v>16</v>
      </c>
      <c r="E8" t="s">
        <v>13</v>
      </c>
      <c r="F8">
        <v>2</v>
      </c>
      <c r="G8">
        <v>45000</v>
      </c>
      <c r="H8" t="s">
        <v>27</v>
      </c>
      <c r="I8">
        <f t="shared" si="0"/>
        <v>90000</v>
      </c>
    </row>
    <row r="9" spans="1:20" x14ac:dyDescent="0.25">
      <c r="I9">
        <f>SUM(I3:I8)</f>
        <v>414000</v>
      </c>
    </row>
    <row r="10" spans="1:20" x14ac:dyDescent="0.25">
      <c r="A10" t="s">
        <v>75</v>
      </c>
    </row>
    <row r="11" spans="1:20" x14ac:dyDescent="0.25">
      <c r="B11" t="s">
        <v>7</v>
      </c>
      <c r="C11" t="s">
        <v>28</v>
      </c>
      <c r="D11" t="s">
        <v>29</v>
      </c>
      <c r="E11" t="s">
        <v>76</v>
      </c>
      <c r="F11" t="s">
        <v>77</v>
      </c>
      <c r="G11" t="s">
        <v>78</v>
      </c>
      <c r="H11" t="s">
        <v>99</v>
      </c>
      <c r="L11" t="s">
        <v>91</v>
      </c>
      <c r="M11" t="s">
        <v>92</v>
      </c>
      <c r="N11" t="s">
        <v>32</v>
      </c>
    </row>
    <row r="12" spans="1:20" x14ac:dyDescent="0.25">
      <c r="B12" t="s">
        <v>13</v>
      </c>
      <c r="C12" t="s">
        <v>30</v>
      </c>
      <c r="D12" s="1">
        <v>0.18</v>
      </c>
      <c r="E12">
        <v>45000</v>
      </c>
      <c r="F12" s="2">
        <f>PRODUCT(D12:E12)</f>
        <v>8100</v>
      </c>
      <c r="G12">
        <f>SUM(I3,I6,I8)</f>
        <v>225000</v>
      </c>
      <c r="H12" s="2">
        <f>SUM(G12,F12)</f>
        <v>233100</v>
      </c>
      <c r="M12" s="2">
        <f>AVERAGE(O3:Q3)</f>
        <v>81.666666666666671</v>
      </c>
      <c r="N12" t="s">
        <v>37</v>
      </c>
    </row>
    <row r="13" spans="1:20" x14ac:dyDescent="0.25">
      <c r="B13" t="s">
        <v>17</v>
      </c>
      <c r="C13" t="s">
        <v>30</v>
      </c>
      <c r="D13" s="1">
        <v>0.12</v>
      </c>
      <c r="E13">
        <v>15000</v>
      </c>
      <c r="F13" s="2">
        <f t="shared" ref="F13:F14" si="2">PRODUCT(D13:E13)</f>
        <v>1800</v>
      </c>
      <c r="G13">
        <f>SUM(I4,I7)</f>
        <v>135000</v>
      </c>
      <c r="H13" s="2">
        <f t="shared" ref="H13:H14" si="3">SUM(G13,F13)</f>
        <v>136800</v>
      </c>
      <c r="M13" s="2">
        <f t="shared" ref="M13:M16" si="4">AVERAGE(O4:Q4)</f>
        <v>89.666666666666671</v>
      </c>
      <c r="N13" t="s">
        <v>38</v>
      </c>
    </row>
    <row r="14" spans="1:20" x14ac:dyDescent="0.25">
      <c r="B14" t="s">
        <v>21</v>
      </c>
      <c r="C14" t="s">
        <v>30</v>
      </c>
      <c r="D14" s="1">
        <v>0.12</v>
      </c>
      <c r="E14">
        <v>18000</v>
      </c>
      <c r="F14" s="2">
        <f t="shared" si="2"/>
        <v>2160</v>
      </c>
      <c r="G14">
        <f>SUM(I5)</f>
        <v>54000</v>
      </c>
      <c r="H14" s="2">
        <f t="shared" si="3"/>
        <v>56160</v>
      </c>
      <c r="M14" s="2">
        <f t="shared" si="4"/>
        <v>69</v>
      </c>
      <c r="N14" t="s">
        <v>39</v>
      </c>
    </row>
    <row r="15" spans="1:20" x14ac:dyDescent="0.25">
      <c r="M15" s="2">
        <f t="shared" si="4"/>
        <v>91.666666666666671</v>
      </c>
      <c r="N15" t="s">
        <v>40</v>
      </c>
    </row>
    <row r="16" spans="1:20" x14ac:dyDescent="0.25">
      <c r="A16" t="s">
        <v>80</v>
      </c>
      <c r="B16">
        <f>COUNTA(B3:B8)</f>
        <v>6</v>
      </c>
      <c r="C16" t="s">
        <v>81</v>
      </c>
      <c r="M16" s="2">
        <f t="shared" si="4"/>
        <v>57.666666666666664</v>
      </c>
      <c r="N16" t="s">
        <v>41</v>
      </c>
    </row>
    <row r="18" spans="1:19" x14ac:dyDescent="0.25">
      <c r="A18" t="s">
        <v>82</v>
      </c>
      <c r="B18" t="s">
        <v>83</v>
      </c>
      <c r="K18" t="s">
        <v>93</v>
      </c>
      <c r="L18" t="s">
        <v>31</v>
      </c>
      <c r="M18" t="s">
        <v>32</v>
      </c>
      <c r="N18" t="s">
        <v>94</v>
      </c>
    </row>
    <row r="19" spans="1:19" x14ac:dyDescent="0.25">
      <c r="C19" t="s">
        <v>11</v>
      </c>
      <c r="L19">
        <v>4</v>
      </c>
      <c r="M19" t="s">
        <v>40</v>
      </c>
      <c r="N19">
        <f>MAX(M12:M16)</f>
        <v>91.666666666666671</v>
      </c>
    </row>
    <row r="21" spans="1:19" x14ac:dyDescent="0.25">
      <c r="A21" t="s">
        <v>84</v>
      </c>
      <c r="B21" t="s">
        <v>8</v>
      </c>
      <c r="C21" t="s">
        <v>85</v>
      </c>
      <c r="L21" t="s">
        <v>95</v>
      </c>
      <c r="M21" t="s">
        <v>96</v>
      </c>
    </row>
    <row r="22" spans="1:19" x14ac:dyDescent="0.25">
      <c r="B22">
        <v>2</v>
      </c>
      <c r="C22" t="str" cm="1">
        <f t="array" ref="C22:C27">IF(F3:F8&gt;3,"High","Low")</f>
        <v>Low</v>
      </c>
      <c r="M22">
        <f>COUNTIF(R2:R7,"&gt;90")</f>
        <v>3</v>
      </c>
    </row>
    <row r="23" spans="1:19" x14ac:dyDescent="0.25">
      <c r="B23">
        <v>5</v>
      </c>
      <c r="C23" t="str">
        <v>High</v>
      </c>
    </row>
    <row r="24" spans="1:19" x14ac:dyDescent="0.25">
      <c r="B24">
        <v>3</v>
      </c>
      <c r="C24" t="str">
        <v>Low</v>
      </c>
      <c r="L24" t="s">
        <v>97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98</v>
      </c>
    </row>
    <row r="25" spans="1:19" x14ac:dyDescent="0.25">
      <c r="B25">
        <v>1</v>
      </c>
      <c r="C25" t="str">
        <v>Low</v>
      </c>
      <c r="M25">
        <v>1</v>
      </c>
      <c r="N25" t="s">
        <v>37</v>
      </c>
      <c r="O25">
        <v>78</v>
      </c>
      <c r="P25">
        <v>82</v>
      </c>
      <c r="Q25">
        <v>85</v>
      </c>
      <c r="R25">
        <v>92</v>
      </c>
      <c r="S25" t="str">
        <f>IF(R25&gt;=85,"Eligible","Not Eligible")</f>
        <v>Eligible</v>
      </c>
    </row>
    <row r="26" spans="1:19" x14ac:dyDescent="0.25">
      <c r="B26">
        <v>4</v>
      </c>
      <c r="C26" t="str">
        <v>High</v>
      </c>
      <c r="M26">
        <v>2</v>
      </c>
      <c r="N26" t="s">
        <v>38</v>
      </c>
      <c r="O26">
        <v>88</v>
      </c>
      <c r="P26">
        <v>91</v>
      </c>
      <c r="Q26">
        <v>90</v>
      </c>
      <c r="R26">
        <v>96</v>
      </c>
      <c r="S26" t="str">
        <f t="shared" ref="S26:S29" si="5">IF(R26&gt;=85,"Eligible","Not Eligible")</f>
        <v>Eligible</v>
      </c>
    </row>
    <row r="27" spans="1:19" x14ac:dyDescent="0.25">
      <c r="B27">
        <v>2</v>
      </c>
      <c r="C27" t="str">
        <v>Low</v>
      </c>
      <c r="M27">
        <v>3</v>
      </c>
      <c r="N27" t="s">
        <v>39</v>
      </c>
      <c r="O27">
        <v>65</v>
      </c>
      <c r="P27">
        <v>70</v>
      </c>
      <c r="Q27">
        <v>72</v>
      </c>
      <c r="R27">
        <v>85</v>
      </c>
      <c r="S27" t="str">
        <f t="shared" si="5"/>
        <v>Eligible</v>
      </c>
    </row>
    <row r="28" spans="1:19" x14ac:dyDescent="0.25">
      <c r="M28">
        <v>4</v>
      </c>
      <c r="N28" t="s">
        <v>40</v>
      </c>
      <c r="O28">
        <v>92</v>
      </c>
      <c r="P28">
        <v>89</v>
      </c>
      <c r="Q28">
        <v>94</v>
      </c>
      <c r="R28">
        <v>98</v>
      </c>
      <c r="S28" t="str">
        <f t="shared" si="5"/>
        <v>Eligible</v>
      </c>
    </row>
    <row r="29" spans="1:19" x14ac:dyDescent="0.25">
      <c r="M29">
        <v>5</v>
      </c>
      <c r="N29" t="s">
        <v>41</v>
      </c>
      <c r="O29">
        <v>55</v>
      </c>
      <c r="P29">
        <v>60</v>
      </c>
      <c r="Q29">
        <v>58</v>
      </c>
      <c r="R29">
        <v>80</v>
      </c>
      <c r="S29" t="str">
        <f t="shared" si="5"/>
        <v>Not Eligible</v>
      </c>
    </row>
    <row r="30" spans="1:19" x14ac:dyDescent="0.25">
      <c r="A30" t="s">
        <v>86</v>
      </c>
      <c r="B30">
        <f>MAX(I2:I8)</f>
        <v>90000</v>
      </c>
      <c r="C30" t="s">
        <v>87</v>
      </c>
    </row>
    <row r="31" spans="1:19" x14ac:dyDescent="0.25">
      <c r="B31">
        <f>MIN(I2:I8)</f>
        <v>45000</v>
      </c>
      <c r="C31" t="s">
        <v>88</v>
      </c>
      <c r="L31" t="s">
        <v>100</v>
      </c>
    </row>
    <row r="33" spans="1:3" x14ac:dyDescent="0.25">
      <c r="A33" t="s">
        <v>89</v>
      </c>
      <c r="B33" t="s">
        <v>10</v>
      </c>
      <c r="C33" t="s">
        <v>90</v>
      </c>
    </row>
    <row r="34" spans="1:3" x14ac:dyDescent="0.25">
      <c r="B34" s="3" t="s">
        <v>14</v>
      </c>
      <c r="C34" t="str">
        <f>TEXT(B34,"mmmmmmm")</f>
        <v>January</v>
      </c>
    </row>
    <row r="35" spans="1:3" x14ac:dyDescent="0.25">
      <c r="B35" t="s">
        <v>18</v>
      </c>
      <c r="C35" t="str">
        <f t="shared" ref="C35:C39" si="6">TEXT(B35,"mmmmmmm")</f>
        <v>January</v>
      </c>
    </row>
    <row r="36" spans="1:3" x14ac:dyDescent="0.25">
      <c r="B36" t="s">
        <v>22</v>
      </c>
      <c r="C36" t="str">
        <f t="shared" si="6"/>
        <v>January</v>
      </c>
    </row>
    <row r="37" spans="1:3" x14ac:dyDescent="0.25">
      <c r="B37" t="s">
        <v>25</v>
      </c>
      <c r="C37" t="str">
        <f t="shared" si="6"/>
        <v>January</v>
      </c>
    </row>
    <row r="38" spans="1:3" x14ac:dyDescent="0.25">
      <c r="B38" t="s">
        <v>26</v>
      </c>
      <c r="C38" t="str">
        <f t="shared" si="6"/>
        <v>January</v>
      </c>
    </row>
    <row r="39" spans="1:3" x14ac:dyDescent="0.25">
      <c r="B39" t="s">
        <v>27</v>
      </c>
      <c r="C39" t="str">
        <f t="shared" si="6"/>
        <v>January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C91F-72D4-4386-923A-D7C962FFB0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Student_Marks</vt:lpstr>
      <vt:lpstr>Questions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ASDC34</cp:lastModifiedBy>
  <dcterms:created xsi:type="dcterms:W3CDTF">2025-12-20T09:26:06Z</dcterms:created>
  <dcterms:modified xsi:type="dcterms:W3CDTF">2026-07-07T10:28:30Z</dcterms:modified>
</cp:coreProperties>
</file>