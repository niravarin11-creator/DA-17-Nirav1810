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3\Downloads\"/>
    </mc:Choice>
  </mc:AlternateContent>
  <xr:revisionPtr revIDLastSave="0" documentId="13_ncr:1_{F7A727D3-9361-4336-9B4A-C0D821674525}" xr6:coauthVersionLast="47" xr6:coauthVersionMax="47" xr10:uidLastSave="{00000000-0000-0000-0000-000000000000}"/>
  <bookViews>
    <workbookView xWindow="-120" yWindow="-120" windowWidth="29040" windowHeight="15720" activeTab="2" xr2:uid="{9D9EC7AC-E7DE-48B3-8DD9-43333EEDFE6D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D29" i="2"/>
  <c r="E33" i="2"/>
  <c r="E34" i="2"/>
  <c r="E35" i="2"/>
  <c r="E36" i="2"/>
  <c r="E37" i="2"/>
  <c r="E38" i="2"/>
  <c r="E39" i="2"/>
  <c r="E40" i="2"/>
  <c r="E41" i="2"/>
  <c r="E32" i="2"/>
  <c r="D27" i="2"/>
  <c r="D25" i="2"/>
  <c r="D23" i="2"/>
  <c r="D21" i="2"/>
  <c r="D19" i="2"/>
  <c r="D17" i="2"/>
  <c r="F38" i="1"/>
  <c r="H35" i="1"/>
  <c r="H28" i="1"/>
  <c r="H29" i="1"/>
  <c r="H30" i="1"/>
  <c r="H31" i="1"/>
  <c r="H32" i="1"/>
  <c r="H33" i="1"/>
  <c r="H34" i="1"/>
  <c r="F35" i="1"/>
  <c r="G24" i="1"/>
  <c r="G15" i="1"/>
  <c r="G21" i="1"/>
  <c r="G18" i="1"/>
</calcChain>
</file>

<file path=xl/sharedStrings.xml><?xml version="1.0" encoding="utf-8"?>
<sst xmlns="http://schemas.openxmlformats.org/spreadsheetml/2006/main" count="138" uniqueCount="85">
  <si>
    <t>SECTION A</t>
  </si>
  <si>
    <t>STATISTICS</t>
  </si>
  <si>
    <t>B. Median</t>
  </si>
  <si>
    <t>Part A</t>
  </si>
  <si>
    <t>C. Range</t>
  </si>
  <si>
    <t>B. Histogram</t>
  </si>
  <si>
    <t>B. Number Of Occurences</t>
  </si>
  <si>
    <t>B. Highest - Lowest</t>
  </si>
  <si>
    <t>Part B</t>
  </si>
  <si>
    <t>Student</t>
  </si>
  <si>
    <t>Marks</t>
  </si>
  <si>
    <t>---------</t>
  </si>
  <si>
    <t>-------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</si>
  <si>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</si>
  <si>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</si>
  <si>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</si>
  <si>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</si>
  <si>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</si>
  <si>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</si>
  <si>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</si>
  <si>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</si>
  <si>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</si>
  <si>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</si>
  <si>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MEAN</t>
  </si>
  <si>
    <t>MEDIAN</t>
  </si>
  <si>
    <t>MODE</t>
  </si>
  <si>
    <t>RANGE</t>
  </si>
  <si>
    <t>Q2</t>
  </si>
  <si>
    <t>Q3</t>
  </si>
  <si>
    <t>Frequency</t>
  </si>
  <si>
    <t>----------------</t>
  </si>
  <si>
    <t>-----------</t>
  </si>
  <si>
    <t>0--10</t>
  </si>
  <si>
    <t>10--20</t>
  </si>
  <si>
    <t>20--30</t>
  </si>
  <si>
    <t>30--40</t>
  </si>
  <si>
    <t>40--50</t>
  </si>
  <si>
    <t>50--60</t>
  </si>
  <si>
    <t>Class Interval</t>
  </si>
  <si>
    <t>Mid Point</t>
  </si>
  <si>
    <t>Fixi</t>
  </si>
  <si>
    <t>Efi</t>
  </si>
  <si>
    <t>Efixi</t>
  </si>
  <si>
    <t>Mean</t>
  </si>
  <si>
    <t>Section B</t>
  </si>
  <si>
    <t>EmpID</t>
  </si>
  <si>
    <t>Name</t>
  </si>
  <si>
    <t>Department</t>
  </si>
  <si>
    <t>City</t>
  </si>
  <si>
    <t>Salary</t>
  </si>
  <si>
    <t>Experience</t>
  </si>
  <si>
    <t>Rahul</t>
  </si>
  <si>
    <t>Sales</t>
  </si>
  <si>
    <t>Ahmedabad</t>
  </si>
  <si>
    <t>Priya</t>
  </si>
  <si>
    <t>HR</t>
  </si>
  <si>
    <t>Mumbai</t>
  </si>
  <si>
    <t>Amit</t>
  </si>
  <si>
    <t>IT</t>
  </si>
  <si>
    <t>Pune</t>
  </si>
  <si>
    <t>Sneha</t>
  </si>
  <si>
    <t>Finance</t>
  </si>
  <si>
    <t>Delhi</t>
  </si>
  <si>
    <t>Karan</t>
  </si>
  <si>
    <t>Jaipur</t>
  </si>
  <si>
    <t>Neha</t>
  </si>
  <si>
    <t>Mohit</t>
  </si>
  <si>
    <t>Surat</t>
  </si>
  <si>
    <t>Riya</t>
  </si>
  <si>
    <t>Ajay</t>
  </si>
  <si>
    <t>Pooja</t>
  </si>
  <si>
    <t>Joining Year</t>
  </si>
  <si>
    <t>Total Salary</t>
  </si>
  <si>
    <t>Average Salary</t>
  </si>
  <si>
    <t>Highest Salary</t>
  </si>
  <si>
    <t>Lowest Salary</t>
  </si>
  <si>
    <t>Count Total Employees</t>
  </si>
  <si>
    <t>IF</t>
  </si>
  <si>
    <t xml:space="preserve">COUNT IF </t>
  </si>
  <si>
    <t xml:space="preserve">SUM IF </t>
  </si>
  <si>
    <t>VLOOKUP</t>
  </si>
  <si>
    <t>XLOOKUP</t>
  </si>
  <si>
    <t>Row Labels</t>
  </si>
  <si>
    <t>Grand Total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</si>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</sst>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6">
    <dxf>
      <numFmt numFmtId="164" formatCode="_ [$₹-4009]\ * #,##0.00_ ;_ [$₹-4009]\ * \-#,##0.00_ ;_ [$₹-4009]\ * &quot;-&quot;??_ ;_ @_ 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DA Exam 2 Excel.xlsx]Sheet4!PivotTable1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Sheet4!$A$4:$A$8</c:f>
              <c:strCache>
                <c:ptCount val="4"/>
                <c:pt idx="0">
                  <c:v>IT</c:v>
                </c:pt>
                <c:pt idx="1">
                  <c:v>HR</c:v>
                </c:pt>
                <c:pt idx="2">
                  <c:v>Sales</c:v>
                </c:pt>
                <c:pt idx="3">
                  <c:v>Finance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231000</c:v>
                </c:pt>
                <c:pt idx="1">
                  <c:v>117000</c:v>
                </c:pt>
                <c:pt idx="2">
                  <c:v>127000</c:v>
                </c:pt>
                <c:pt idx="3">
                  <c:v>101000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2-4A66-B846-2DA9B36E5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4</xdr:row>
      <xdr:rowOff>47625</xdr:rowOff>
    </xdr:from>
    <xdr:to>
      <xdr:col>12</xdr:col>
      <xdr:colOff>361950</xdr:colOff>
      <xdr:row>18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6A8BC-F06D-25BC-7E94-233C35538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43" refreshedDate="46286.661562152774" createdVersion="8" refreshedVersion="8" minRefreshableVersion="3" recordCount="10" xr:uid="{750BAC2A-1D5D-4776-A643-650BE1280AAD}">
  <cacheSource type="worksheet">
    <worksheetSource name="Table46"/>
  </cacheSource>
  <cacheFields count="7">
    <cacheField name="EmpID" numFmtId="0">
      <sharedItems containsSemiMixedTypes="0" containsString="0" containsNumber="1" containsInteger="1" minValue="101" maxValue="110"/>
    </cacheField>
    <cacheField name="Name" numFmtId="0">
      <sharedItems/>
    </cacheField>
    <cacheField name="Department" numFmtId="0">
      <sharedItems count="4">
        <s v="IT"/>
        <s v="HR"/>
        <s v="Finance"/>
        <s v="Sales"/>
      </sharedItems>
    </cacheField>
    <cacheField name="City" numFmtId="0">
      <sharedItems/>
    </cacheField>
    <cacheField name="Salary" numFmtId="0">
      <sharedItems containsSemiMixedTypes="0" containsString="0" containsNumber="1" containsInteger="1" minValue="38000" maxValue="85000"/>
    </cacheField>
    <cacheField name="Experience" numFmtId="0">
      <sharedItems containsSemiMixedTypes="0" containsString="0" containsNumber="1" containsInteger="1" minValue="1" maxValue="8"/>
    </cacheField>
    <cacheField name="Joining Year" numFmtId="0">
      <sharedItems containsSemiMixedTypes="0" containsString="0" containsNumber="1" containsInteger="1" minValue="2016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7"/>
    <s v="Mohit"/>
    <x v="0"/>
    <s v="Surat"/>
    <n v="85000"/>
    <n v="8"/>
    <n v="2016"/>
  </r>
  <r>
    <n v="109"/>
    <s v="Ajay"/>
    <x v="0"/>
    <s v="Delhi"/>
    <n v="76000"/>
    <n v="6"/>
    <n v="2018"/>
  </r>
  <r>
    <n v="103"/>
    <s v="Amit"/>
    <x v="0"/>
    <s v="Pune"/>
    <n v="70000"/>
    <n v="6"/>
    <n v="2018"/>
  </r>
  <r>
    <n v="106"/>
    <s v="Neha"/>
    <x v="1"/>
    <s v="Ahmedabad"/>
    <n v="62000"/>
    <n v="7"/>
    <n v="2017"/>
  </r>
  <r>
    <n v="102"/>
    <s v="Priya"/>
    <x v="1"/>
    <s v="Mumbai"/>
    <n v="55000"/>
    <n v="5"/>
    <n v="2019"/>
  </r>
  <r>
    <n v="108"/>
    <s v="Riya"/>
    <x v="2"/>
    <s v="Mumbai"/>
    <n v="53000"/>
    <n v="4"/>
    <n v="2020"/>
  </r>
  <r>
    <n v="104"/>
    <s v="Sneha"/>
    <x v="2"/>
    <s v="Delhi"/>
    <n v="48000"/>
    <n v="3"/>
    <n v="2021"/>
  </r>
  <r>
    <n v="110"/>
    <s v="Pooja"/>
    <x v="3"/>
    <s v="Ahmedabad"/>
    <n v="47000"/>
    <n v="3"/>
    <n v="2021"/>
  </r>
  <r>
    <n v="101"/>
    <s v="Rahul"/>
    <x v="3"/>
    <s v="Ahmedabad"/>
    <n v="42000"/>
    <n v="2"/>
    <n v="2022"/>
  </r>
  <r>
    <n v="105"/>
    <s v="Karan"/>
    <x v="3"/>
    <s v="Jaipur"/>
    <n v="38000"/>
    <n v="1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15101-4985-45EF-81EA-43AE4D8EA41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7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D8B77E-324A-420A-85D9-31AF2445DCC8}" name="Table2" displayName="Table2" ref="D13:E24" totalsRowShown="0">
  <autoFilter ref="D13:E24" xr:uid="{2BD8B77E-324A-420A-85D9-31AF2445DCC8}"/>
  <tableColumns count="2">
    <tableColumn id="1" xr3:uid="{166774CF-DB0F-40F3-ADB6-6CB5CC8860DE}" name="Student"/>
    <tableColumn id="2" xr3:uid="{2BC65B41-1A26-403F-A518-283CA1589BCF}" name="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D5071B-2B27-4407-B2C7-1989AB866FB5}" name="Table3" displayName="Table3" ref="E27:H35" totalsRowCount="1">
  <autoFilter ref="E27:H34" xr:uid="{4FD5071B-2B27-4407-B2C7-1989AB866FB5}"/>
  <tableColumns count="4">
    <tableColumn id="1" xr3:uid="{441D74B9-EDDE-428C-9138-E056B1E2BCFD}" name="Class Interval"/>
    <tableColumn id="2" xr3:uid="{59DCCA52-B311-476A-A9B3-D92DB2DB13BA}" name="Frequency" totalsRowFunction="custom">
      <totalsRowFormula>SUM(F29:F34)</totalsRowFormula>
    </tableColumn>
    <tableColumn id="3" xr3:uid="{1666B9F9-757B-411D-A643-88FD9A2FA6D6}" name="Mid Point" dataDxfId="5" totalsRowDxfId="3">
      <calculatedColumnFormula>0+10/2</calculatedColumnFormula>
    </tableColumn>
    <tableColumn id="4" xr3:uid="{EF5CF531-0C8F-490C-84D1-287CAB8E86C3}" name="Fixi" totalsRowFunction="custom" dataDxfId="4">
      <calculatedColumnFormula>Table3[[#This Row],[Frequency]]*Table3[[#This Row],[Mid Point]]</calculatedColumnFormula>
      <totalsRowFormula>SUM(H29:H34)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14993C-20F9-4AD1-A60A-1E5F4C3EF00A}" name="Table4" displayName="Table4" ref="B4:I14" totalsRowShown="0">
  <autoFilter ref="B4:I14" xr:uid="{FD14993C-20F9-4AD1-A60A-1E5F4C3EF00A}"/>
  <tableColumns count="8">
    <tableColumn id="1" xr3:uid="{6210508A-B641-4C0E-ACC3-F7D98171CF06}" name="EmpID"/>
    <tableColumn id="2" xr3:uid="{2B25A005-17AB-4623-859F-FFC8B7678A4E}" name="Name"/>
    <tableColumn id="3" xr3:uid="{EC34A4E4-01D4-430A-B16E-5211D1E6DE38}" name="Department"/>
    <tableColumn id="4" xr3:uid="{CC1377BD-386F-497D-82D2-656F73CA0605}" name="City"/>
    <tableColumn id="5" xr3:uid="{D235ED63-6B96-42E1-AAED-FC8BD8444B2F}" name="Salary"/>
    <tableColumn id="6" xr3:uid="{0E605AED-E32F-4781-BF19-9927AD2F752B}" name="Experience"/>
    <tableColumn id="7" xr3:uid="{0F760482-8C43-4C10-8FF8-F5408DC7DDA8}" name="Joining Year"/>
    <tableColumn id="9" xr3:uid="{DE34FED5-C574-4363-82F0-8FDC08A3D1E1}" name="IF" dataDxfId="2">
      <calculatedColumnFormula>IF(Table4[[#This Row],[Salary]]&gt;50000,"High","Low")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6CE84E-5233-4613-8F2B-6A98FEE0EF69}" name="Table46" displayName="Table46" ref="D4:J14" totalsRowShown="0">
  <autoFilter ref="D4:J14" xr:uid="{876CE84E-5233-4613-8F2B-6A98FEE0EF69}"/>
  <sortState xmlns:xlrd2="http://schemas.microsoft.com/office/spreadsheetml/2017/richdata2" ref="D5:J14">
    <sortCondition descending="1" ref="H4:H14"/>
  </sortState>
  <tableColumns count="7">
    <tableColumn id="1" xr3:uid="{8D81A670-9F6B-42AB-A5A1-BFE0EF4529F6}" name="EmpID"/>
    <tableColumn id="2" xr3:uid="{3C03A36D-29C1-4887-ADC3-EC55A460C6FD}" name="Name"/>
    <tableColumn id="3" xr3:uid="{1F0F8B0A-1972-4E4D-8911-3E016412CEF3}" name="Department"/>
    <tableColumn id="4" xr3:uid="{15A26FBD-689F-45C7-9972-5F684DCAED5C}" name="City"/>
    <tableColumn id="5" xr3:uid="{47D52DAC-BC9C-4A2A-A38F-1773E8621559}" name="Salary" dataDxfId="0"/>
    <tableColumn id="6" xr3:uid="{7507413D-856F-4D5E-8333-A27C11720485}" name="Experience"/>
    <tableColumn id="7" xr3:uid="{8993BDF3-3DBF-457C-8683-BD3BA2FE432B}" name="Joining 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A315-B2E0-4FA2-AC88-802401BC357E}">
  <dimension ref="B2:H38"/>
  <sheetViews>
    <sheetView topLeftCell="A14" workbookViewId="0">
      <selection activeCell="D40" sqref="D40"/>
    </sheetView>
  </sheetViews>
  <sheetFormatPr defaultRowHeight="15" x14ac:dyDescent="0.25"/>
  <cols>
    <col min="3" max="3" width="24" bestFit="1" customWidth="1"/>
    <col min="4" max="4" width="10.140625" customWidth="1"/>
    <col min="5" max="5" width="14.85546875" customWidth="1"/>
    <col min="6" max="6" width="12.42578125" customWidth="1"/>
  </cols>
  <sheetData>
    <row r="2" spans="2:7" x14ac:dyDescent="0.25">
      <c r="C2" s="1" t="s">
        <v>0</v>
      </c>
      <c r="D2" s="1"/>
      <c r="E2" s="1"/>
    </row>
    <row r="4" spans="2:7" x14ac:dyDescent="0.25">
      <c r="C4" t="s">
        <v>1</v>
      </c>
    </row>
    <row r="5" spans="2:7" x14ac:dyDescent="0.25">
      <c r="B5" t="s">
        <v>3</v>
      </c>
    </row>
    <row r="6" spans="2:7" x14ac:dyDescent="0.25">
      <c r="B6">
        <v>1</v>
      </c>
      <c r="C6" t="s">
        <v>2</v>
      </c>
    </row>
    <row r="7" spans="2:7" x14ac:dyDescent="0.25">
      <c r="B7">
        <v>2</v>
      </c>
      <c r="C7" t="s">
        <v>4</v>
      </c>
    </row>
    <row r="8" spans="2:7" x14ac:dyDescent="0.25">
      <c r="B8">
        <v>3</v>
      </c>
      <c r="C8" t="s">
        <v>5</v>
      </c>
    </row>
    <row r="9" spans="2:7" x14ac:dyDescent="0.25">
      <c r="B9">
        <v>4</v>
      </c>
      <c r="C9" t="s">
        <v>6</v>
      </c>
    </row>
    <row r="10" spans="2:7" x14ac:dyDescent="0.25">
      <c r="B10">
        <v>5</v>
      </c>
      <c r="C10" t="s">
        <v>7</v>
      </c>
    </row>
    <row r="12" spans="2:7" x14ac:dyDescent="0.25">
      <c r="C12" t="s">
        <v>8</v>
      </c>
      <c r="D12" t="s">
        <v>27</v>
      </c>
    </row>
    <row r="13" spans="2:7" x14ac:dyDescent="0.25">
      <c r="D13" t="s">
        <v>9</v>
      </c>
      <c r="E13" t="s">
        <v>10</v>
      </c>
    </row>
    <row r="14" spans="2:7" x14ac:dyDescent="0.25">
      <c r="D14" t="s">
        <v>11</v>
      </c>
      <c r="E14" t="s">
        <v>12</v>
      </c>
      <c r="G14" t="s">
        <v>23</v>
      </c>
    </row>
    <row r="15" spans="2:7" x14ac:dyDescent="0.25">
      <c r="D15" t="s">
        <v>13</v>
      </c>
      <c r="E15">
        <v>65</v>
      </c>
      <c r="G15">
        <f>AVERAGE(E15:E24)</f>
        <v>73</v>
      </c>
    </row>
    <row r="16" spans="2:7" x14ac:dyDescent="0.25">
      <c r="D16" t="s">
        <v>14</v>
      </c>
      <c r="E16">
        <v>70</v>
      </c>
    </row>
    <row r="17" spans="4:8" x14ac:dyDescent="0.25">
      <c r="D17" t="s">
        <v>15</v>
      </c>
      <c r="E17">
        <v>72</v>
      </c>
      <c r="G17" t="s">
        <v>24</v>
      </c>
    </row>
    <row r="18" spans="4:8" x14ac:dyDescent="0.25">
      <c r="D18" t="s">
        <v>16</v>
      </c>
      <c r="E18">
        <v>68</v>
      </c>
      <c r="G18">
        <f>MEDIAN(E15:E24)</f>
        <v>71</v>
      </c>
    </row>
    <row r="19" spans="4:8" x14ac:dyDescent="0.25">
      <c r="D19" t="s">
        <v>17</v>
      </c>
      <c r="E19">
        <v>75</v>
      </c>
    </row>
    <row r="20" spans="4:8" x14ac:dyDescent="0.25">
      <c r="D20" t="s">
        <v>18</v>
      </c>
      <c r="E20">
        <v>80</v>
      </c>
      <c r="G20" t="s">
        <v>25</v>
      </c>
    </row>
    <row r="21" spans="4:8" x14ac:dyDescent="0.25">
      <c r="D21" t="s">
        <v>19</v>
      </c>
      <c r="E21">
        <v>72</v>
      </c>
      <c r="G21">
        <f>MODE(E15:E24)</f>
        <v>70</v>
      </c>
    </row>
    <row r="22" spans="4:8" x14ac:dyDescent="0.25">
      <c r="D22" t="s">
        <v>20</v>
      </c>
      <c r="E22">
        <v>68</v>
      </c>
    </row>
    <row r="23" spans="4:8" x14ac:dyDescent="0.25">
      <c r="D23" t="s">
        <v>21</v>
      </c>
      <c r="E23">
        <v>90</v>
      </c>
      <c r="G23" t="s">
        <v>26</v>
      </c>
    </row>
    <row r="24" spans="4:8" x14ac:dyDescent="0.25">
      <c r="D24" t="s">
        <v>22</v>
      </c>
      <c r="E24">
        <v>70</v>
      </c>
      <c r="G24">
        <f>E23-E15</f>
        <v>25</v>
      </c>
    </row>
    <row r="27" spans="4:8" x14ac:dyDescent="0.25">
      <c r="D27" t="s">
        <v>28</v>
      </c>
      <c r="E27" t="s">
        <v>38</v>
      </c>
      <c r="F27" t="s">
        <v>29</v>
      </c>
      <c r="G27" t="s">
        <v>39</v>
      </c>
      <c r="H27" t="s">
        <v>40</v>
      </c>
    </row>
    <row r="28" spans="4:8" x14ac:dyDescent="0.25">
      <c r="E28" t="s">
        <v>30</v>
      </c>
      <c r="F28" t="s">
        <v>31</v>
      </c>
      <c r="H28" t="e">
        <f>Table3[[#This Row],[Frequency]]*Table3[[#This Row],[Mid Point]]</f>
        <v>#VALUE!</v>
      </c>
    </row>
    <row r="29" spans="4:8" x14ac:dyDescent="0.25">
      <c r="E29" t="s">
        <v>32</v>
      </c>
      <c r="F29">
        <v>4</v>
      </c>
      <c r="G29">
        <v>5</v>
      </c>
      <c r="H29">
        <f>Table3[[#This Row],[Frequency]]*Table3[[#This Row],[Mid Point]]</f>
        <v>20</v>
      </c>
    </row>
    <row r="30" spans="4:8" x14ac:dyDescent="0.25">
      <c r="E30" t="s">
        <v>33</v>
      </c>
      <c r="F30">
        <v>6</v>
      </c>
      <c r="G30">
        <v>15</v>
      </c>
      <c r="H30">
        <f>Table3[[#This Row],[Frequency]]*Table3[[#This Row],[Mid Point]]</f>
        <v>90</v>
      </c>
    </row>
    <row r="31" spans="4:8" x14ac:dyDescent="0.25">
      <c r="E31" t="s">
        <v>34</v>
      </c>
      <c r="F31">
        <v>8</v>
      </c>
      <c r="G31">
        <v>25</v>
      </c>
      <c r="H31">
        <f>Table3[[#This Row],[Frequency]]*Table3[[#This Row],[Mid Point]]</f>
        <v>200</v>
      </c>
    </row>
    <row r="32" spans="4:8" x14ac:dyDescent="0.25">
      <c r="E32" t="s">
        <v>35</v>
      </c>
      <c r="F32">
        <v>10</v>
      </c>
      <c r="G32">
        <v>35</v>
      </c>
      <c r="H32">
        <f>Table3[[#This Row],[Frequency]]*Table3[[#This Row],[Mid Point]]</f>
        <v>350</v>
      </c>
    </row>
    <row r="33" spans="5:8" x14ac:dyDescent="0.25">
      <c r="E33" t="s">
        <v>36</v>
      </c>
      <c r="F33">
        <v>5</v>
      </c>
      <c r="G33">
        <v>45</v>
      </c>
      <c r="H33">
        <f>Table3[[#This Row],[Frequency]]*Table3[[#This Row],[Mid Point]]</f>
        <v>225</v>
      </c>
    </row>
    <row r="34" spans="5:8" x14ac:dyDescent="0.25">
      <c r="E34" t="s">
        <v>37</v>
      </c>
      <c r="F34">
        <v>7</v>
      </c>
      <c r="G34">
        <v>55</v>
      </c>
      <c r="H34">
        <f>Table3[[#This Row],[Frequency]]*Table3[[#This Row],[Mid Point]]</f>
        <v>385</v>
      </c>
    </row>
    <row r="35" spans="5:8" x14ac:dyDescent="0.25">
      <c r="F35">
        <f>SUM(F29:F34)</f>
        <v>40</v>
      </c>
      <c r="G35" s="5"/>
      <c r="H35">
        <f>SUM(H29:H34)</f>
        <v>1270</v>
      </c>
    </row>
    <row r="36" spans="5:8" x14ac:dyDescent="0.25">
      <c r="F36" t="s">
        <v>41</v>
      </c>
      <c r="H36" t="s">
        <v>42</v>
      </c>
    </row>
    <row r="38" spans="5:8" x14ac:dyDescent="0.25">
      <c r="E38" t="s">
        <v>43</v>
      </c>
      <c r="F38">
        <f>Table3[[#Totals],[Fixi]]/Table3[[#Totals],[Frequency]]</f>
        <v>31.75</v>
      </c>
    </row>
  </sheetData>
  <mergeCells count="1">
    <mergeCell ref="C2:E2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5151-EC6C-428B-9293-21DAC6D59AC0}">
  <dimension ref="B2:I41"/>
  <sheetViews>
    <sheetView topLeftCell="A7" workbookViewId="0">
      <selection activeCell="G31" sqref="G31"/>
    </sheetView>
  </sheetViews>
  <sheetFormatPr defaultRowHeight="15" x14ac:dyDescent="0.25"/>
  <cols>
    <col min="3" max="3" width="21.85546875" customWidth="1"/>
    <col min="6" max="6" width="13.85546875" customWidth="1"/>
    <col min="7" max="7" width="12.7109375" customWidth="1"/>
    <col min="8" max="8" width="17.7109375" customWidth="1"/>
    <col min="9" max="9" width="13" customWidth="1"/>
    <col min="10" max="10" width="13.85546875" customWidth="1"/>
    <col min="11" max="11" width="25" customWidth="1"/>
    <col min="12" max="12" width="24" customWidth="1"/>
  </cols>
  <sheetData>
    <row r="2" spans="2:9" x14ac:dyDescent="0.25">
      <c r="B2" t="s">
        <v>44</v>
      </c>
    </row>
    <row r="4" spans="2:9" x14ac:dyDescent="0.25"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71</v>
      </c>
      <c r="I4" t="s">
        <v>77</v>
      </c>
    </row>
    <row r="5" spans="2:9" x14ac:dyDescent="0.25">
      <c r="B5">
        <v>101</v>
      </c>
      <c r="C5" t="s">
        <v>51</v>
      </c>
      <c r="D5" t="s">
        <v>52</v>
      </c>
      <c r="E5" t="s">
        <v>53</v>
      </c>
      <c r="F5">
        <v>42000</v>
      </c>
      <c r="G5">
        <v>2</v>
      </c>
      <c r="H5">
        <v>2022</v>
      </c>
      <c r="I5" t="str">
        <f>IF(Table4[[#This Row],[Salary]]&gt;50000,"High","Low")</f>
        <v>Low</v>
      </c>
    </row>
    <row r="6" spans="2:9" x14ac:dyDescent="0.25">
      <c r="B6">
        <v>102</v>
      </c>
      <c r="C6" t="s">
        <v>54</v>
      </c>
      <c r="D6" t="s">
        <v>55</v>
      </c>
      <c r="E6" t="s">
        <v>56</v>
      </c>
      <c r="F6">
        <v>55000</v>
      </c>
      <c r="G6">
        <v>5</v>
      </c>
      <c r="H6">
        <v>2019</v>
      </c>
      <c r="I6" t="str">
        <f>IF(Table4[[#This Row],[Salary]]&gt;50000,"High","Low")</f>
        <v>High</v>
      </c>
    </row>
    <row r="7" spans="2:9" x14ac:dyDescent="0.25">
      <c r="B7">
        <v>103</v>
      </c>
      <c r="C7" t="s">
        <v>57</v>
      </c>
      <c r="D7" t="s">
        <v>58</v>
      </c>
      <c r="E7" t="s">
        <v>59</v>
      </c>
      <c r="F7">
        <v>70000</v>
      </c>
      <c r="G7">
        <v>6</v>
      </c>
      <c r="H7">
        <v>2018</v>
      </c>
      <c r="I7" t="str">
        <f>IF(Table4[[#This Row],[Salary]]&gt;50000,"High","Low")</f>
        <v>High</v>
      </c>
    </row>
    <row r="8" spans="2:9" x14ac:dyDescent="0.25">
      <c r="B8">
        <v>104</v>
      </c>
      <c r="C8" t="s">
        <v>60</v>
      </c>
      <c r="D8" t="s">
        <v>61</v>
      </c>
      <c r="E8" t="s">
        <v>62</v>
      </c>
      <c r="F8">
        <v>48000</v>
      </c>
      <c r="G8">
        <v>3</v>
      </c>
      <c r="H8">
        <v>2021</v>
      </c>
      <c r="I8" t="str">
        <f>IF(Table4[[#This Row],[Salary]]&gt;50000,"High","Low")</f>
        <v>Low</v>
      </c>
    </row>
    <row r="9" spans="2:9" x14ac:dyDescent="0.25">
      <c r="B9">
        <v>105</v>
      </c>
      <c r="C9" t="s">
        <v>63</v>
      </c>
      <c r="D9" t="s">
        <v>52</v>
      </c>
      <c r="E9" t="s">
        <v>64</v>
      </c>
      <c r="F9">
        <v>38000</v>
      </c>
      <c r="G9">
        <v>1</v>
      </c>
      <c r="H9">
        <v>2024</v>
      </c>
      <c r="I9" t="str">
        <f>IF(Table4[[#This Row],[Salary]]&gt;50000,"High","Low")</f>
        <v>Low</v>
      </c>
    </row>
    <row r="10" spans="2:9" x14ac:dyDescent="0.25">
      <c r="B10">
        <v>106</v>
      </c>
      <c r="C10" t="s">
        <v>65</v>
      </c>
      <c r="D10" t="s">
        <v>55</v>
      </c>
      <c r="E10" t="s">
        <v>53</v>
      </c>
      <c r="F10">
        <v>62000</v>
      </c>
      <c r="G10">
        <v>7</v>
      </c>
      <c r="H10">
        <v>2017</v>
      </c>
      <c r="I10" t="str">
        <f>IF(Table4[[#This Row],[Salary]]&gt;50000,"High","Low")</f>
        <v>High</v>
      </c>
    </row>
    <row r="11" spans="2:9" x14ac:dyDescent="0.25">
      <c r="B11">
        <v>107</v>
      </c>
      <c r="C11" t="s">
        <v>66</v>
      </c>
      <c r="D11" t="s">
        <v>58</v>
      </c>
      <c r="E11" t="s">
        <v>67</v>
      </c>
      <c r="F11">
        <v>85000</v>
      </c>
      <c r="G11">
        <v>8</v>
      </c>
      <c r="H11">
        <v>2016</v>
      </c>
      <c r="I11" t="str">
        <f>IF(Table4[[#This Row],[Salary]]&gt;50000,"High","Low")</f>
        <v>High</v>
      </c>
    </row>
    <row r="12" spans="2:9" x14ac:dyDescent="0.25">
      <c r="B12">
        <v>108</v>
      </c>
      <c r="C12" t="s">
        <v>68</v>
      </c>
      <c r="D12" t="s">
        <v>61</v>
      </c>
      <c r="E12" t="s">
        <v>56</v>
      </c>
      <c r="F12">
        <v>53000</v>
      </c>
      <c r="G12">
        <v>4</v>
      </c>
      <c r="H12">
        <v>2020</v>
      </c>
      <c r="I12" t="str">
        <f>IF(Table4[[#This Row],[Salary]]&gt;50000,"High","Low")</f>
        <v>High</v>
      </c>
    </row>
    <row r="13" spans="2:9" x14ac:dyDescent="0.25">
      <c r="B13">
        <v>109</v>
      </c>
      <c r="C13" t="s">
        <v>69</v>
      </c>
      <c r="D13" t="s">
        <v>58</v>
      </c>
      <c r="E13" t="s">
        <v>62</v>
      </c>
      <c r="F13">
        <v>76000</v>
      </c>
      <c r="G13">
        <v>6</v>
      </c>
      <c r="H13">
        <v>2018</v>
      </c>
      <c r="I13" t="str">
        <f>IF(Table4[[#This Row],[Salary]]&gt;50000,"High","Low")</f>
        <v>High</v>
      </c>
    </row>
    <row r="14" spans="2:9" x14ac:dyDescent="0.25">
      <c r="B14">
        <v>110</v>
      </c>
      <c r="C14" t="s">
        <v>70</v>
      </c>
      <c r="D14" t="s">
        <v>52</v>
      </c>
      <c r="E14" t="s">
        <v>53</v>
      </c>
      <c r="F14">
        <v>47000</v>
      </c>
      <c r="G14">
        <v>3</v>
      </c>
      <c r="H14">
        <v>2021</v>
      </c>
      <c r="I14" t="str">
        <f>IF(Table4[[#This Row],[Salary]]&gt;50000,"High","Low")</f>
        <v>Low</v>
      </c>
    </row>
    <row r="17" spans="3:7" x14ac:dyDescent="0.25">
      <c r="C17" t="s">
        <v>72</v>
      </c>
      <c r="D17">
        <f>SUM(Table4[Salary])</f>
        <v>576000</v>
      </c>
    </row>
    <row r="19" spans="3:7" x14ac:dyDescent="0.25">
      <c r="C19" t="s">
        <v>73</v>
      </c>
      <c r="D19">
        <f>AVERAGE(Table4[Salary])</f>
        <v>57600</v>
      </c>
    </row>
    <row r="21" spans="3:7" x14ac:dyDescent="0.25">
      <c r="C21" t="s">
        <v>74</v>
      </c>
      <c r="D21">
        <f>MAX(Table4[Salary])</f>
        <v>85000</v>
      </c>
    </row>
    <row r="23" spans="3:7" x14ac:dyDescent="0.25">
      <c r="C23" t="s">
        <v>75</v>
      </c>
      <c r="D23">
        <f>MIN(Table4[Salary])</f>
        <v>38000</v>
      </c>
    </row>
    <row r="25" spans="3:7" x14ac:dyDescent="0.25">
      <c r="C25" t="s">
        <v>76</v>
      </c>
      <c r="D25">
        <f>COUNT(Table4[EmpID])</f>
        <v>10</v>
      </c>
    </row>
    <row r="27" spans="3:7" x14ac:dyDescent="0.25">
      <c r="C27" t="s">
        <v>78</v>
      </c>
      <c r="D27">
        <f>COUNTIF(Table4[Department],"Sales")</f>
        <v>3</v>
      </c>
    </row>
    <row r="29" spans="3:7" x14ac:dyDescent="0.25">
      <c r="C29" t="s">
        <v>79</v>
      </c>
      <c r="D29">
        <f>SUMIF(Table4[Department],"IT",Table4[Salary])</f>
        <v>231000</v>
      </c>
    </row>
    <row r="31" spans="3:7" x14ac:dyDescent="0.25">
      <c r="C31" t="s">
        <v>80</v>
      </c>
      <c r="D31" s="2" t="s">
        <v>45</v>
      </c>
      <c r="E31" t="s">
        <v>80</v>
      </c>
      <c r="G31" t="s">
        <v>81</v>
      </c>
    </row>
    <row r="32" spans="3:7" x14ac:dyDescent="0.25">
      <c r="D32" s="3">
        <v>101</v>
      </c>
      <c r="E32">
        <f>VLOOKUP(D32,Table4[[#All],[EmpID]:[Salary]],5,)</f>
        <v>42000</v>
      </c>
    </row>
    <row r="33" spans="4:5" x14ac:dyDescent="0.25">
      <c r="D33" s="4">
        <v>102</v>
      </c>
      <c r="E33">
        <f>VLOOKUP(D33,Table4[[#All],[EmpID]:[Salary]],5,)</f>
        <v>55000</v>
      </c>
    </row>
    <row r="34" spans="4:5" x14ac:dyDescent="0.25">
      <c r="D34" s="3">
        <v>103</v>
      </c>
      <c r="E34">
        <f>VLOOKUP(D34,Table4[[#All],[EmpID]:[Salary]],5,)</f>
        <v>70000</v>
      </c>
    </row>
    <row r="35" spans="4:5" x14ac:dyDescent="0.25">
      <c r="D35" s="4">
        <v>104</v>
      </c>
      <c r="E35">
        <f>VLOOKUP(D35,Table4[[#All],[EmpID]:[Salary]],5,)</f>
        <v>48000</v>
      </c>
    </row>
    <row r="36" spans="4:5" x14ac:dyDescent="0.25">
      <c r="D36" s="3">
        <v>105</v>
      </c>
      <c r="E36">
        <f>VLOOKUP(D36,Table4[[#All],[EmpID]:[Salary]],5,)</f>
        <v>38000</v>
      </c>
    </row>
    <row r="37" spans="4:5" x14ac:dyDescent="0.25">
      <c r="D37" s="4">
        <v>106</v>
      </c>
      <c r="E37">
        <f>VLOOKUP(D37,Table4[[#All],[EmpID]:[Salary]],5,)</f>
        <v>62000</v>
      </c>
    </row>
    <row r="38" spans="4:5" x14ac:dyDescent="0.25">
      <c r="D38" s="3">
        <v>107</v>
      </c>
      <c r="E38">
        <f>VLOOKUP(D38,Table4[[#All],[EmpID]:[Salary]],5,)</f>
        <v>85000</v>
      </c>
    </row>
    <row r="39" spans="4:5" x14ac:dyDescent="0.25">
      <c r="D39" s="4">
        <v>108</v>
      </c>
      <c r="E39">
        <f>VLOOKUP(D39,Table4[[#All],[EmpID]:[Salary]],5,)</f>
        <v>53000</v>
      </c>
    </row>
    <row r="40" spans="4:5" x14ac:dyDescent="0.25">
      <c r="D40" s="3">
        <v>109</v>
      </c>
      <c r="E40">
        <f>VLOOKUP(D40,Table4[[#All],[EmpID]:[Salary]],5,)</f>
        <v>76000</v>
      </c>
    </row>
    <row r="41" spans="4:5" x14ac:dyDescent="0.25">
      <c r="D41" s="4">
        <v>110</v>
      </c>
      <c r="E41">
        <f>VLOOKUP(D41,Table4[[#All],[EmpID]:[Salary]],5,)</f>
        <v>47000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A246-9115-479C-B933-82B3D972DBBC}">
  <dimension ref="D4:J14"/>
  <sheetViews>
    <sheetView tabSelected="1" workbookViewId="0">
      <pane ySplit="1" topLeftCell="A2" activePane="bottomLeft" state="frozen"/>
      <selection pane="bottomLeft" activeCell="M19" sqref="M19"/>
    </sheetView>
  </sheetViews>
  <sheetFormatPr defaultRowHeight="15" x14ac:dyDescent="0.25"/>
  <cols>
    <col min="8" max="8" width="11.5703125" bestFit="1" customWidth="1"/>
  </cols>
  <sheetData>
    <row r="4" spans="4:10" x14ac:dyDescent="0.25"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71</v>
      </c>
    </row>
    <row r="5" spans="4:10" x14ac:dyDescent="0.25">
      <c r="D5">
        <v>107</v>
      </c>
      <c r="E5" t="s">
        <v>66</v>
      </c>
      <c r="F5" t="s">
        <v>58</v>
      </c>
      <c r="G5" t="s">
        <v>67</v>
      </c>
      <c r="H5" s="8">
        <v>85000</v>
      </c>
      <c r="I5">
        <v>8</v>
      </c>
      <c r="J5">
        <v>2016</v>
      </c>
    </row>
    <row r="6" spans="4:10" x14ac:dyDescent="0.25">
      <c r="D6">
        <v>109</v>
      </c>
      <c r="E6" t="s">
        <v>69</v>
      </c>
      <c r="F6" t="s">
        <v>58</v>
      </c>
      <c r="G6" t="s">
        <v>62</v>
      </c>
      <c r="H6" s="8">
        <v>76000</v>
      </c>
      <c r="I6">
        <v>6</v>
      </c>
      <c r="J6">
        <v>2018</v>
      </c>
    </row>
    <row r="7" spans="4:10" x14ac:dyDescent="0.25">
      <c r="D7">
        <v>103</v>
      </c>
      <c r="E7" t="s">
        <v>57</v>
      </c>
      <c r="F7" t="s">
        <v>58</v>
      </c>
      <c r="G7" t="s">
        <v>59</v>
      </c>
      <c r="H7" s="8">
        <v>70000</v>
      </c>
      <c r="I7">
        <v>6</v>
      </c>
      <c r="J7">
        <v>2018</v>
      </c>
    </row>
    <row r="8" spans="4:10" x14ac:dyDescent="0.25">
      <c r="D8">
        <v>106</v>
      </c>
      <c r="E8" t="s">
        <v>65</v>
      </c>
      <c r="F8" t="s">
        <v>55</v>
      </c>
      <c r="G8" t="s">
        <v>53</v>
      </c>
      <c r="H8" s="8">
        <v>62000</v>
      </c>
      <c r="I8">
        <v>7</v>
      </c>
      <c r="J8">
        <v>2017</v>
      </c>
    </row>
    <row r="9" spans="4:10" x14ac:dyDescent="0.25">
      <c r="D9">
        <v>102</v>
      </c>
      <c r="E9" t="s">
        <v>54</v>
      </c>
      <c r="F9" t="s">
        <v>55</v>
      </c>
      <c r="G9" t="s">
        <v>56</v>
      </c>
      <c r="H9" s="8">
        <v>55000</v>
      </c>
      <c r="I9">
        <v>5</v>
      </c>
      <c r="J9">
        <v>2019</v>
      </c>
    </row>
    <row r="10" spans="4:10" x14ac:dyDescent="0.25">
      <c r="D10">
        <v>108</v>
      </c>
      <c r="E10" t="s">
        <v>68</v>
      </c>
      <c r="F10" t="s">
        <v>61</v>
      </c>
      <c r="G10" t="s">
        <v>56</v>
      </c>
      <c r="H10" s="8">
        <v>53000</v>
      </c>
      <c r="I10">
        <v>4</v>
      </c>
      <c r="J10">
        <v>2020</v>
      </c>
    </row>
    <row r="11" spans="4:10" x14ac:dyDescent="0.25">
      <c r="D11">
        <v>104</v>
      </c>
      <c r="E11" t="s">
        <v>60</v>
      </c>
      <c r="F11" t="s">
        <v>61</v>
      </c>
      <c r="G11" t="s">
        <v>62</v>
      </c>
      <c r="H11" s="8">
        <v>48000</v>
      </c>
      <c r="I11">
        <v>3</v>
      </c>
      <c r="J11">
        <v>2021</v>
      </c>
    </row>
    <row r="12" spans="4:10" x14ac:dyDescent="0.25">
      <c r="D12">
        <v>110</v>
      </c>
      <c r="E12" t="s">
        <v>70</v>
      </c>
      <c r="F12" t="s">
        <v>52</v>
      </c>
      <c r="G12" t="s">
        <v>53</v>
      </c>
      <c r="H12" s="8">
        <v>47000</v>
      </c>
      <c r="I12">
        <v>3</v>
      </c>
      <c r="J12">
        <v>2021</v>
      </c>
    </row>
    <row r="13" spans="4:10" x14ac:dyDescent="0.25">
      <c r="D13">
        <v>101</v>
      </c>
      <c r="E13" t="s">
        <v>51</v>
      </c>
      <c r="F13" t="s">
        <v>52</v>
      </c>
      <c r="G13" t="s">
        <v>53</v>
      </c>
      <c r="H13" s="8">
        <v>42000</v>
      </c>
      <c r="I13">
        <v>2</v>
      </c>
      <c r="J13">
        <v>2022</v>
      </c>
    </row>
    <row r="14" spans="4:10" x14ac:dyDescent="0.25">
      <c r="D14">
        <v>105</v>
      </c>
      <c r="E14" t="s">
        <v>63</v>
      </c>
      <c r="F14" t="s">
        <v>52</v>
      </c>
      <c r="G14" t="s">
        <v>64</v>
      </c>
      <c r="H14" s="8">
        <v>38000</v>
      </c>
      <c r="I14">
        <v>1</v>
      </c>
      <c r="J14">
        <v>2024</v>
      </c>
    </row>
  </sheetData>
  <conditionalFormatting sqref="H5:H14">
    <cfRule type="cellIs" dxfId="1" priority="1" operator="greaterThan">
      <formula>60000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0DDA-83CD-4044-9B0E-2EE3580DD551}">
  <dimension ref="A3:B8"/>
  <sheetViews>
    <sheetView workbookViewId="0">
      <selection activeCell="N28" sqref="N28"/>
    </sheetView>
  </sheetViews>
  <sheetFormatPr defaultRowHeight="15" x14ac:dyDescent="0.25"/>
  <cols>
    <col min="1" max="1" width="13.140625" bestFit="1" customWidth="1"/>
    <col min="2" max="2" width="12.85546875" bestFit="1" customWidth="1"/>
  </cols>
  <sheetData>
    <row r="3" spans="1:2" x14ac:dyDescent="0.25">
      <c r="A3" s="6" t="s">
        <v>82</v>
      </c>
      <c r="B3" t="s">
        <v>84</v>
      </c>
    </row>
    <row r="4" spans="1:2" x14ac:dyDescent="0.25">
      <c r="A4" s="7" t="s">
        <v>58</v>
      </c>
      <c r="B4" s="5">
        <v>231000</v>
      </c>
    </row>
    <row r="5" spans="1:2" x14ac:dyDescent="0.25">
      <c r="A5" s="7" t="s">
        <v>55</v>
      </c>
      <c r="B5" s="5">
        <v>117000</v>
      </c>
    </row>
    <row r="6" spans="1:2" x14ac:dyDescent="0.25">
      <c r="A6" s="7" t="s">
        <v>52</v>
      </c>
      <c r="B6" s="5">
        <v>127000</v>
      </c>
    </row>
    <row r="7" spans="1:2" x14ac:dyDescent="0.25">
      <c r="A7" s="7" t="s">
        <v>61</v>
      </c>
      <c r="B7" s="5">
        <v>101000</v>
      </c>
    </row>
    <row r="8" spans="1:2" x14ac:dyDescent="0.25">
      <c r="A8" s="7" t="s">
        <v>83</v>
      </c>
      <c r="B8" s="5">
        <v>576000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ASDC43</dc:creator>
  <cp:lastModifiedBy>ASDC43</cp:lastModifiedBy>
  <dcterms:created xsi:type="dcterms:W3CDTF">2026-09-21T08:57:28Z</dcterms:created>
  <dcterms:modified xsi:type="dcterms:W3CDTF">2026-09-21T10:32:58Z</dcterms:modified>
</cp:coreProperties>
</file>